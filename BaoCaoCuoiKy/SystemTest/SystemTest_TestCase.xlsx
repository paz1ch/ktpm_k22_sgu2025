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4"/>
  </bookViews>
  <sheets>
    <sheet name="Cover" sheetId="1" r:id="rId1"/>
    <sheet name="Test case List" sheetId="2" r:id="rId2"/>
    <sheet name="Module1" sheetId="3" r:id="rId3"/>
    <sheet name="Module2" sheetId="4" r:id="rId4"/>
    <sheet name="Test Report" sheetId="5" r:id="rId5"/>
  </sheets>
  <definedNames>
    <definedName name="ACTION">#REF!</definedName>
    <definedName name="_xlnm._FilterDatabase" localSheetId="1" hidden="1">'Test case List'!$A$8:$F$21</definedName>
    <definedName name="Excel_BuiltIn__FilterDatabase" localSheetId="2">Module1!$A$8:$H$16</definedName>
    <definedName name="_xlnm._FilterDatabase" localSheetId="2" hidden="1">Module1!$A$8:$J$30</definedName>
    <definedName name="Excel_BuiltIn__FilterDatabase" localSheetId="3">Module2!$A$8:$H$15</definedName>
    <definedName name="_xlnm._FilterDatabase" localSheetId="3" hidden="1">Module2!$A$8:$K$26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E11" authorId="0">
      <text>
        <r>
          <rPr>
            <sz val="10"/>
            <rFont val="SimSun"/>
            <charset val="134"/>
          </rPr>
          <t>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F8" authorId="0">
      <text>
        <r>
          <rPr>
            <sz val="10"/>
            <rFont val="SimSun"/>
            <charset val="134"/>
          </rPr>
          <t>Pass
Fail
Untested
N/A</t>
        </r>
      </text>
    </comment>
  </commentList>
</comments>
</file>

<file path=xl/sharedStrings.xml><?xml version="1.0" encoding="utf-8"?>
<sst xmlns="http://schemas.openxmlformats.org/spreadsheetml/2006/main" count="432" uniqueCount="286">
  <si>
    <t>TEST CASE</t>
  </si>
  <si>
    <t>Project Name</t>
  </si>
  <si>
    <t>Website bán quần áo tích hợp chatbot</t>
  </si>
  <si>
    <t>Creator</t>
  </si>
  <si>
    <t>Sinh viên kiểm thử</t>
  </si>
  <si>
    <t>Project Code</t>
  </si>
  <si>
    <t>WCB</t>
  </si>
  <si>
    <t>Reviewer/Approver</t>
  </si>
  <si>
    <t>GV hướng dẫn</t>
  </si>
  <si>
    <t>Document Code</t>
  </si>
  <si>
    <t>WCB_SYSTEM_TC_v1.0</t>
  </si>
  <si>
    <t>Issue Date</t>
  </si>
  <si>
    <t>18-12-2025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</si>
  <si>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</si>
  <si>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</si>
  <si>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</si>
  <si>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</si>
  <si>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</si>
  <si>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</si>
  <si>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</si>
  <si>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</si>
  <si>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</si>
  <si>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Tạo mới tài liệu test case</t>
  </si>
  <si>
    <t>Tài liệu yêu cầu/Use Case</t>
  </si>
  <si>
    <t>&lt;List of documents which are referred in this version.&gt;</t>
  </si>
  <si>
    <t>TEST CASE LIST</t>
  </si>
  <si>
    <t>Test Environment Setup Description</t>
  </si>
  <si>
    <t xml:space="preserve">Môi trường kiểm thử (giả định):
1. Server: Windows 10/11, IIS
2. Backend: ASP.NET MVC (.NET Framework)
3. Database: Microsoft SQL Server 2008 R2
4. Browser: Chrome/Edge (Desktop), Chrome (Android) 
5. Thanh toán: VNPAY Sandbox
6. Chatbot: Dialogflow Messenger
</t>
  </si>
  <si>
    <t>No</t>
  </si>
  <si>
    <t>Function Name</t>
  </si>
  <si>
    <t>Sheet Name</t>
  </si>
  <si>
    <t>Description</t>
  </si>
  <si>
    <t>Pre-Condition</t>
  </si>
  <si>
    <t>Chức năng Khách hàng (Front-end)</t>
  </si>
  <si>
    <t>Module1</t>
  </si>
  <si>
    <t>Xem SP, tìm kiếm, tài khoản, giỏ hàng, đặt hàng, thanh toán, liên hệ, chatbot</t>
  </si>
  <si>
    <t>Có dữ liệu sản phẩm &amp; danh mục</t>
  </si>
  <si>
    <t>Chức năng Quản trị (Admin/Back-end)</t>
  </si>
  <si>
    <t>Module2</t>
  </si>
  <si>
    <t>Đăng nhập admin, quản lý danh mục/sản phẩm/thành viên/đơn hàng/bình luận/báo cáo/chatbot</t>
  </si>
  <si>
    <t>Có tài khoản Admin; có dữ liệu đơn hàng</t>
  </si>
  <si>
    <t>Module1!B17</t>
  </si>
  <si>
    <t>Module2!B10</t>
  </si>
  <si>
    <t>Module2!B14</t>
  </si>
  <si>
    <t>Module Code</t>
  </si>
  <si>
    <t>ST-CUS</t>
  </si>
  <si>
    <t>Pass</t>
  </si>
  <si>
    <t>Test requirement</t>
  </si>
  <si>
    <t>System Test - Luồng chức năng phía khách hàng</t>
  </si>
  <si>
    <t>Fail</t>
  </si>
  <si>
    <t>Tester</t>
  </si>
  <si>
    <t>Tester: Sinh viên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</si>
  <si>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</si>
  <si>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</si>
  <si>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</si>
  <si>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</si>
  <si>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</si>
  <si>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</si>
  <si>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</si>
  <si>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</si>
  <si>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</si>
  <si>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</si>
  <si>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ST-CUS-01</t>
  </si>
  <si>
    <t>Truy cập trang chủ</t>
  </si>
  <si>
    <t>1. Mở URL trang chủ
2. Quan sát danh mục &amp; danh sách sản phẩm hiển thị</t>
  </si>
  <si>
    <t>Trang chủ tải thành công (HTTP 200), hiển thị danh mục/sản phẩm, không lỗi giao diện/JS.</t>
  </si>
  <si>
    <t>URL: /</t>
  </si>
  <si>
    <t>Trang chủ hiển thị bình thường</t>
  </si>
  <si>
    <t>OK</t>
  </si>
  <si>
    <t>ST-CUS-02</t>
  </si>
  <si>
    <t>Xem danh sách sản phẩm theo danh mục</t>
  </si>
  <si>
    <t>1. Từ trang chủ chọn 1 danh mục
2. Kiểm tra danh sách sản phẩm</t>
  </si>
  <si>
    <t>Hiển thị đúng danh sách sản phẩm thuộc danh mục đã chọn; phân trang hoạt động.</t>
  </si>
  <si>
    <t>Danh mục có ≥ 1 sản phẩm</t>
  </si>
  <si>
    <t>Hiển thị đúng danh sách</t>
  </si>
  <si>
    <t>ST-CUS-03</t>
  </si>
  <si>
    <t>Xem chi tiết sản phẩm</t>
  </si>
  <si>
    <t>1. Chọn 1 sản phẩm trong danh sách
2. Kiểm tra thông tin chi tiết</t>
  </si>
  <si>
    <t>Trang chi tiết hiển thị đúng: tên, giá, ảnh, mô tả; có nút Thêm vào giỏ.</t>
  </si>
  <si>
    <t>1 sản phẩm bất kỳ</t>
  </si>
  <si>
    <t>Hiển thị đầy đủ thông tin</t>
  </si>
  <si>
    <t>ST-CUS-04</t>
  </si>
  <si>
    <t>Tìm kiếm sản phẩm theo từ khóa</t>
  </si>
  <si>
    <t>1. Vào trang tìm kiếm
2. Nhập từ khóa hợp lệ
3. Nhấn tìm kiếm</t>
  </si>
  <si>
    <t>Trả về danh sách sản phẩm đúng theo từ khóa; không có lỗi hệ thống.</t>
  </si>
  <si>
    <t>keyword='áo' (hoặc từ khóa có trong DB)</t>
  </si>
  <si>
    <t>Tìm thấy sản phẩm phù hợp</t>
  </si>
  <si>
    <t>ST-CUS-05</t>
  </si>
  <si>
    <t>Tìm kiếm với ký tự đặc biệt</t>
  </si>
  <si>
    <t>1. Nhập từ khóa chứa ký tự đặc biệt
2. Nhấn tìm kiếm</t>
  </si>
  <si>
    <t>Hệ thống không lỗi 500; xử lý input an toàn; trả về kết quả/không tìm thấy hợp lệ.</t>
  </si>
  <si>
    <t>keyword="%'_\"&lt;&gt;"</t>
  </si>
  <si>
    <t>Không lỗi, trả về 0 kết quả</t>
  </si>
  <si>
    <t>ST-ACC-01</t>
  </si>
  <si>
    <t>Đăng ký tài khoản mới</t>
  </si>
  <si>
    <t>1. Vào trang đăng ký
2. Nhập username/email hợp lệ
3. Submit</t>
  </si>
  <si>
    <t>Tạo tài khoản thành công; thông báo thành công; có thể đăng nhập/hoặc yêu cầu kích hoạt theo thiết kế.</t>
  </si>
  <si>
    <t>username=test01, email=test01@mail.com, pass=Test@123</t>
  </si>
  <si>
    <t>Tạo tài khoản thành công</t>
  </si>
  <si>
    <t>ST-ACC-02</t>
  </si>
  <si>
    <t>Đăng nhập tài khoản hợp lệ</t>
  </si>
  <si>
    <t>1. Vào trang đăng nhập
2. Nhập đúng username/password
3. Submit</t>
  </si>
  <si>
    <t>Đăng nhập thành công; hiển thị đúng trạng thái đăng nhập (tên user).</t>
  </si>
  <si>
    <t>username=test01, pass=Test@123</t>
  </si>
  <si>
    <t>Đăng nhập thành công</t>
  </si>
  <si>
    <t>ST-ACC-03</t>
  </si>
  <si>
    <t>Đăng nhập sai mật khẩu</t>
  </si>
  <si>
    <t>1. Vào trang đăng nhập
2. Nhập đúng username nhưng sai password
3. Submit</t>
  </si>
  <si>
    <t>Không đăng nhập; hiển thị thông báo lỗi phù hợp.</t>
  </si>
  <si>
    <t>username=test01, pass=Wrong@123</t>
  </si>
  <si>
    <t>Hiển thị thông báo sai mật khẩu</t>
  </si>
  <si>
    <t>ST-CART-01</t>
  </si>
  <si>
    <t>Thêm sản phẩm vào giỏ khi CHƯA đăng nhập (theo yêu cầu khách vãng lai)</t>
  </si>
  <si>
    <t>1. Đăng xuất/không đăng nhập
2. Vào chi tiết sản phẩm
3. Nhấn 'Thêm vào giỏ'</t>
  </si>
  <si>
    <t>Sản phẩm được thêm vào giỏ; giỏ hàng hiển thị đúng (không bắt buộc đăng nhập).</t>
  </si>
  <si>
    <t>Hệ thống chuyển hướng /admin (yêu cầu có username)</t>
  </si>
  <si>
    <t>SYS-BUG-001: Giỏ hàng/đặt hàng yêu cầu đăng nhập (khách vãng lai bị chuyển /admin hoặc 404)</t>
  </si>
  <si>
    <t>ST-CART-02</t>
  </si>
  <si>
    <t>Xem giỏ hàng khi CHƯA đăng nhập</t>
  </si>
  <si>
    <t>1. Không đăng nhập
2. Truy cập /gio-hang</t>
  </si>
  <si>
    <t>Trang giỏ hàng hiển thị; cho phép xem/cập nhật/xóa item.</t>
  </si>
  <si>
    <t>URL: /gio-hang</t>
  </si>
  <si>
    <t>Hiển thị trang Error_404 do username rỗng</t>
  </si>
  <si>
    <t>ST-CART-03</t>
  </si>
  <si>
    <t>Thêm sản phẩm vào giỏ khi ĐÃ đăng nhập</t>
  </si>
  <si>
    <t>1. Đăng nhập
2. Vào chi tiết sản phẩm
3. Nhấn 'Thêm vào giỏ'
4. Vào /gio-hang</t>
  </si>
  <si>
    <t>Sản phẩm xuất hiện trong giỏ; số lượng đúng; tổng tiền tính đúng.</t>
  </si>
  <si>
    <t>User=test01; Sản phẩm A; qty=1</t>
  </si>
  <si>
    <t>Sản phẩm xuất hiện trong giỏ</t>
  </si>
  <si>
    <t>ST-CART-04</t>
  </si>
  <si>
    <t>Cập nhật số lượng sản phẩm trong giỏ</t>
  </si>
  <si>
    <t>1. Đã có 1 item trong giỏ
2. Tăng số lượng lên 2
3. Giảm về 1</t>
  </si>
  <si>
    <t>Tổng tiền cập nhật đúng; không lỗi; không cho số lượng âm.</t>
  </si>
  <si>
    <t>qty: 1 -&gt; 2 -&gt; 1</t>
  </si>
  <si>
    <t>Tổng tiền cập nhật đúng</t>
  </si>
  <si>
    <t>ST-CART-05</t>
  </si>
  <si>
    <t>Xóa sản phẩm khỏi giỏ</t>
  </si>
  <si>
    <t>1. Đã có item trong giỏ
2. Chọn xóa item
3. Refresh trang giỏ</t>
  </si>
  <si>
    <t>Item bị xóa; tổng tiền cập nhật; giỏ trống nếu không còn item.</t>
  </si>
  <si>
    <t>Xóa Sản phẩm A</t>
  </si>
  <si>
    <t>Xóa thành công</t>
  </si>
  <si>
    <t>ST-ORDER-01</t>
  </si>
  <si>
    <t>Đặt hàng/Thanh toán khi CHƯA đăng nhập (theo yêu cầu khách vãng lai)</t>
  </si>
  <si>
    <t>1. Không đăng nhập
2. Thêm hàng vào giỏ
3. Nhấn Thanh toán</t>
  </si>
  <si>
    <t>Cho phép đặt hàng mà không cần tài khoản; chuyển sang bước nhập thông tin giao hàng.</t>
  </si>
  <si>
    <t>Guest checkout</t>
  </si>
  <si>
    <t>Không thể thêm/xem giỏ; không thể thanh toán</t>
  </si>
  <si>
    <t>ST-ORDER-02</t>
  </si>
  <si>
    <t>Nhập thông tin giao hàng trước khi thanh toán</t>
  </si>
  <si>
    <t>1. Đăng nhập
2. Vào giỏ hàng
3. Nhấn thanh toán
4. Kiểm tra form nhập họ tên/SĐT/email/địa chỉ</t>
  </si>
  <si>
    <t>Có form nhập thông tin giao hàng; validate bắt buộc; lưu vào đơn hàng.</t>
  </si>
  <si>
    <t>Họ tên=Nguyễn A, SĐT=09xxxx, Email=a@gmail.com, Địa chỉ=Hà Nội</t>
  </si>
  <si>
    <t>Không có bước nhập thông tin; đơn lấy thông tin từ profile user</t>
  </si>
  <si>
    <t>SYS-BUG-002: Thiếu form nhập thông tin giao hàng (họ tên/SĐT/email/địa chỉ) trước khi thanh toán</t>
  </si>
  <si>
    <t>ST-PAY-01</t>
  </si>
  <si>
    <t>Thanh toán VNPAY thành công (Happy path)</t>
  </si>
  <si>
    <t>1. Đăng nhập
2. Có sản phẩm trong giỏ
3. Nhấn thanh toán
4. Thực hiện thanh toán thành công trên VNPAY sandbox
5. Return về website</t>
  </si>
  <si>
    <t>Hệ thống hiển thị thông báo giao dịch thành công; đơn hàng cập nhật trạng thái thành công.</t>
  </si>
  <si>
    <t>VNPAY sandbox; BankCode=NCB</t>
  </si>
  <si>
    <t>Return OK; hiển thị thành công</t>
  </si>
  <si>
    <t>ST-PAY-02</t>
  </si>
  <si>
    <t>Thanh toán VNPAY thất bại / hủy giao dịch</t>
  </si>
  <si>
    <t>1. Đăng nhập
2. Nhấn thanh toán
3. Hủy/Fail trên cổng thanh toán
4. Return về website</t>
  </si>
  <si>
    <t>Hệ thống hiển thị thông báo thất bại; đơn hàng cập nhật trạng thái lỗi/hủy phù hợp.</t>
  </si>
  <si>
    <t>VNPAY sandbox</t>
  </si>
  <si>
    <t>Return lỗi; hiển thị thất bại</t>
  </si>
  <si>
    <t>ST-EMAIL-01</t>
  </si>
  <si>
    <t>Gửi email xác nhận đặt hàng thành công</t>
  </si>
  <si>
    <t>1. Thực hiện đặt hàng thành công
2. Kiểm tra inbox email khách hàng</t>
  </si>
  <si>
    <t>Khách hàng nhận email xác nhận đặt hàng + chi tiết đơn hàng.</t>
  </si>
  <si>
    <t>Email khách: test01@mail.com</t>
  </si>
  <si>
    <t>Không nhận được email xác nhận đơn hàng</t>
  </si>
  <si>
    <t>SYS-BUG-003: Không gửi email xác nhận đơn hàng sau khi đặt hàng thành công</t>
  </si>
  <si>
    <t>ST-COM-01</t>
  </si>
  <si>
    <t>Đánh giá/bình luận sản phẩm với dữ liệu hợp lệ</t>
  </si>
  <si>
    <t>1. Vào chi tiết sản phẩm
2. Nhập đánh giá (sao) + nội dung
3. Submit
4. Reload danh sách đánh giá</t>
  </si>
  <si>
    <t>Đánh giá được lưu và hiển thị; điểm trung bình cập nhật (nếu có).</t>
  </si>
  <si>
    <t>Legit=5, Comment='Sản phẩm tốt'</t>
  </si>
  <si>
    <t>Đánh giá hiển thị ngay</t>
  </si>
  <si>
    <t>ST-CONTACT-01</t>
  </si>
  <si>
    <t>Gửi liên hệ</t>
  </si>
  <si>
    <t>1. Vào trang Liên hệ
2. Nhập thông tin
3. Submit</t>
  </si>
  <si>
    <t>Lưu/gửi liên hệ thành công; hiển thị thông báo gửi thành công.</t>
  </si>
  <si>
    <t>Tên=Nguyễn A; Email=a@gmail.com; Nội dung='Tư vấn size'</t>
  </si>
  <si>
    <t>Hiển thị gửi thành công</t>
  </si>
  <si>
    <t>ST-BOT-01</t>
  </si>
  <si>
    <t>Chatbot phản hồi intent cơ bản</t>
  </si>
  <si>
    <t>1. Mở chatbot
2. Nhập 'Chào shop'
3. Nhập 'Shop ở đâu?'</t>
  </si>
  <si>
    <t>Chatbot phản hồi đúng kịch bản chào hỏi và địa chỉ.</t>
  </si>
  <si>
    <t>Input: 'Chào', 'Shop ở đâu?'</t>
  </si>
  <si>
    <t>Bot trả lời phù hợp</t>
  </si>
  <si>
    <t>ST-BOT-02</t>
  </si>
  <si>
    <t>Chatbot fallback khi không hiểu</t>
  </si>
  <si>
    <t>1. Mở chatbot
2. Nhập câu vô nghĩa
3. Quan sát phản hồi</t>
  </si>
  <si>
    <t>Chatbot trả lời fallback/unknown lịch sự, hướng dẫn nhập lại.</t>
  </si>
  <si>
    <t>Input: 'asdasd qweqwe'</t>
  </si>
  <si>
    <t>Bot trả lời không hiểu</t>
  </si>
  <si>
    <t>ST-ADM</t>
  </si>
  <si>
    <t>System Test - Luồng chức năng quản trị</t>
  </si>
  <si>
    <t>Inter-test case Dependence</t>
  </si>
  <si>
    <t>Test date</t>
  </si>
  <si>
    <t>Note</t>
  </si>
  <si>
    <t>ST-ADM-01</t>
  </si>
  <si>
    <t>Đăng nhập Admin</t>
  </si>
  <si>
    <t>1. Truy cập /admin
2. Nhập tài khoản admin hợp lệ
3. Đăng nhập</t>
  </si>
  <si>
    <t>Vào trang quản trị thành công; hiển thị menu quản trị.</t>
  </si>
  <si>
    <t>-</t>
  </si>
  <si>
    <t>ST-ADM-02</t>
  </si>
  <si>
    <t>Phân quyền: user thường không truy cập được trang admin</t>
  </si>
  <si>
    <t>1. Đăng nhập bằng user thường
2. Truy cập URL admin (vd /WOrder/Index)
3. Quan sát</t>
  </si>
  <si>
    <t>Bị chặn/redirect về trang đăng nhập; không hiển thị dữ liệu admin.</t>
  </si>
  <si>
    <t>ST-ADM-03</t>
  </si>
  <si>
    <t>Thêm danh mục sản phẩm</t>
  </si>
  <si>
    <t>1. Admin đăng nhập
2. Vào Quản lý danh mục
3. Nhấn Thêm
4. Nhập dữ liệu hợp lệ
5. Lưu</t>
  </si>
  <si>
    <t>Danh mục mới xuất hiện trong danh sách; có thể dùng trên trang khách.</t>
  </si>
  <si>
    <t>ST-ADM-04</t>
  </si>
  <si>
    <t>Sửa danh mục sản phẩm</t>
  </si>
  <si>
    <t>1. Admin đăng nhập
2. Chọn 1 danh mục
3. Sửa tên
4. Lưu</t>
  </si>
  <si>
    <t>Danh mục cập nhật thành công; dữ liệu hiển thị đúng sau refresh.</t>
  </si>
  <si>
    <t>ST-ADM-05</t>
  </si>
  <si>
    <t>Xóa danh mục sản phẩm</t>
  </si>
  <si>
    <t>1. Admin đăng nhập
2. Chọn 1 danh mục
3. Nhấn Xóa
4. Xác nhận</t>
  </si>
  <si>
    <t>Danh mục bị xóa/ẩn; không còn hiển thị trong danh sách.</t>
  </si>
  <si>
    <t>ST-ADM-06</t>
  </si>
  <si>
    <t>Thêm sản phẩm</t>
  </si>
  <si>
    <t>1. Admin đăng nhập
2. Vào Quản lý sản phẩm
3. Thêm sản phẩm
4. Lưu</t>
  </si>
  <si>
    <t>Sản phẩm mới xuất hiện trong danh sách; hiển thị ở trang khách.</t>
  </si>
  <si>
    <t>ST-ADM-07</t>
  </si>
  <si>
    <t>Sửa sản phẩm</t>
  </si>
  <si>
    <t>1. Admin đăng nhập
2. Chọn 1 sản phẩm
3. Sửa giá/tên
4. Lưu</t>
  </si>
  <si>
    <t>Sản phẩm cập nhật đúng; trang khách cập nhật theo.</t>
  </si>
  <si>
    <t>ST-ADM-08</t>
  </si>
  <si>
    <t>Xóa sản phẩm</t>
  </si>
  <si>
    <t>1. Admin đăng nhập
2. Chọn 1 sản phẩm
3. Xóa
4. Xác nhận</t>
  </si>
  <si>
    <t>Sản phẩm bị xóa/ẩn; không còn hiển thị ở trang khách.</t>
  </si>
  <si>
    <t>ST-ADM-09</t>
  </si>
  <si>
    <t>Xem danh sách đơn hàng</t>
  </si>
  <si>
    <t>1. Admin đăng nhập
2. Vào Quản lý đơn hàng
3. Kiểm tra danh sách</t>
  </si>
  <si>
    <t>Hiển thị danh sách đơn; có thể xem chi tiết.</t>
  </si>
  <si>
    <t>ST-ADM-01; Có đơn hàng tồn tại</t>
  </si>
  <si>
    <t>ST-ADM-10</t>
  </si>
  <si>
    <t>Xác nhận đơn hàng (Confirm)</t>
  </si>
  <si>
    <t>1. Admin vào chi tiết đơn
2. Nhấn Xác nhận
3. Kiểm tra trạng thái</t>
  </si>
  <si>
    <t>Trạng thái đơn chuyển sang 'Đã xác nhận' (Confirm).</t>
  </si>
  <si>
    <t>ST-ADM-11</t>
  </si>
  <si>
    <t>Từ chối/Hủy đơn hàng (Reject)</t>
  </si>
  <si>
    <t>1. Admin vào chi tiết đơn
2. Nhấn Từ chối/Hủy
3. Kiểm tra trạng thái</t>
  </si>
  <si>
    <t>Trạng thái đơn chuyển sang 'Từ chối' (Reject) hoặc tương đương; đơn không còn ở luồng xử lý.</t>
  </si>
  <si>
    <t>ST-ADM-12</t>
  </si>
  <si>
    <t>Sau khi xác nhận đơn, tồn kho giảm tương ứng</t>
  </si>
  <si>
    <t>1. Có đơn hàng chứa sản phẩm X (qty=n)
2. Ghi nhận tồn kho trước
3. Admin xác nhận đơn
4. Kiểm tra tồn kho sau</t>
  </si>
  <si>
    <t>Tồn kho sản phẩm giảm đúng theo số lượng trong đơn khi đơn được xác nhận.</t>
  </si>
  <si>
    <t>SYS-BUG-004: Không trừ tồn kho sau khi admin xác nhận đơn hàng</t>
  </si>
  <si>
    <t>ST-ADM-13</t>
  </si>
  <si>
    <t>Báo cáo doanh thu theo tháng/khoảng ngày</t>
  </si>
  <si>
    <t>1. Admin vào màn Báo cáo
2. Chọn khoảng ngày
3. Xem kết quả</t>
  </si>
  <si>
    <t>Hiển thị doanh thu đúng theo điều kiện lọc.</t>
  </si>
  <si>
    <t>ST-ADM-01; Có dữ liệu đơn hàng</t>
  </si>
  <si>
    <t>ST-ADM-14</t>
  </si>
  <si>
    <t>Quản lý bình luận: xóa bình luận</t>
  </si>
  <si>
    <t>1. Admin vào màn quản lý bình luận
2. Chọn 1 bình luận
3. Xóa
4. Refresh</t>
  </si>
  <si>
    <t>Bình luận bị xóa và không hiển thị lại.</t>
  </si>
  <si>
    <t>ST-ADM-01; Có bình luận</t>
  </si>
  <si>
    <t>ST-ADM-15</t>
  </si>
  <si>
    <t>Quản lý chatbot: thêm/sửa/xóa dữ liệu Q&amp;A</t>
  </si>
  <si>
    <t>1. Admin vào màn quản lý chatbot
2. Thêm 1 Q&amp;A mới
3. Sửa nội dung
4. Xóa Q&amp;A</t>
  </si>
  <si>
    <t>CRUD Q&amp;A thành công; dữ liệu hiển thị đúng trên danh sách.</t>
  </si>
  <si>
    <t>ST-ADM-16</t>
  </si>
  <si>
    <t>Quản lý thành viên: xem danh sách / thêm mới</t>
  </si>
  <si>
    <t>1. Admin đăng nhập
2. Vào quản lý thành viên
3. Xem danh sách
4. Thêm mới 1 thành viên
5. Lưu</t>
  </si>
  <si>
    <t>Danh sách hiển thị; thêm thành viên thành công; dữ liệu lưu DB.</t>
  </si>
  <si>
    <t>ST-ADM-17</t>
  </si>
  <si>
    <t>Đăng xuất Admin</t>
  </si>
  <si>
    <t>1. Admin đang đăng nhập
2. Nhấn 'Đăng xuất'
3. Truy cập lại URL admin</t>
  </si>
  <si>
    <t>Đăng xuất thành công; truy cập admin yêu cầu đăng nhập lại.</t>
  </si>
  <si>
    <t>TEST REPORT</t>
  </si>
  <si>
    <t>WCB_SYSTEM_TR_v1.0</t>
  </si>
  <si>
    <t>&lt;Date when this test report is created&gt;</t>
  </si>
  <si>
    <t>Notes</t>
  </si>
  <si>
    <t>Release/Scope: System Test cho website bán quần áo (Front-end + Admin).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</si>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</sst>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\-mmm\-yy;@"/>
    <numFmt numFmtId="177" formatCode="[$-409]d\-mmm\-yy"/>
  </numFmts>
  <fonts count="41">
    <font>
      <sz val="11"/>
      <name val="ＭＳ Ｐゴシック"/>
      <charset val="134"/>
    </font>
    <font>
      <sz val="10"/>
      <name val="Tahoma"/>
      <charset val="134"/>
    </font>
    <font>
      <sz val="11"/>
      <name val="Tahoma"/>
      <charset val="134"/>
    </font>
    <font>
      <b/>
      <sz val="20"/>
      <color rgb="FF000000"/>
      <name val="Tahoma"/>
      <charset val="134"/>
    </font>
    <font>
      <b/>
      <sz val="10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ＭＳ Ｐゴシック"/>
      <charset val="134"/>
    </font>
    <font>
      <sz val="9"/>
      <name val="ＭＳ ゴシック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7" fillId="0" borderId="0"/>
    <xf numFmtId="44" fontId="17" fillId="0" borderId="0"/>
    <xf numFmtId="9" fontId="17" fillId="0" borderId="0"/>
    <xf numFmtId="41" fontId="17" fillId="0" borderId="0"/>
    <xf numFmtId="42" fontId="17" fillId="0" borderId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6" applyNumberFormat="0" applyAlignment="0" applyProtection="0">
      <alignment vertical="center"/>
    </xf>
    <xf numFmtId="0" fontId="28" fillId="8" borderId="47" applyNumberFormat="0" applyAlignment="0" applyProtection="0">
      <alignment vertical="center"/>
    </xf>
    <xf numFmtId="0" fontId="29" fillId="8" borderId="46" applyNumberFormat="0" applyAlignment="0" applyProtection="0">
      <alignment vertical="center"/>
    </xf>
    <xf numFmtId="0" fontId="30" fillId="9" borderId="48" applyNumberFormat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0" borderId="50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0"/>
    <xf numFmtId="0" fontId="0" fillId="0" borderId="0"/>
    <xf numFmtId="0" fontId="0" fillId="0" borderId="0"/>
    <xf numFmtId="0" fontId="39" fillId="0" borderId="0"/>
  </cellStyleXfs>
  <cellXfs count="144">
    <xf numFmtId="0" fontId="0" fillId="0" borderId="0" xfId="0" applyFont="1" applyAlignment="1"/>
    <xf numFmtId="0" fontId="0" fillId="0" borderId="0" xfId="0" applyFont="1"/>
    <xf numFmtId="0" fontId="1" fillId="2" borderId="0" xfId="0" applyFont="1" applyFill="1" applyAlignme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176" fontId="1" fillId="2" borderId="0" xfId="0" applyNumberFormat="1" applyFont="1" applyFill="1" applyAlignme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left" vertic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1" fillId="2" borderId="4" xfId="0" applyFont="1" applyFill="1" applyBorder="1" applyAlignment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7" fillId="3" borderId="14" xfId="0" applyFont="1" applyFill="1" applyBorder="1" applyAlignment="1"/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9" fillId="2" borderId="0" xfId="0" applyNumberFormat="1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11" fillId="2" borderId="0" xfId="0" applyFont="1" applyFill="1" applyAlignment="1"/>
    <xf numFmtId="0" fontId="10" fillId="2" borderId="16" xfId="0" applyFont="1" applyFill="1" applyBorder="1" applyAlignment="1"/>
    <xf numFmtId="0" fontId="10" fillId="2" borderId="16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2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top" wrapText="1"/>
    </xf>
    <xf numFmtId="0" fontId="6" fillId="2" borderId="21" xfId="0" applyFont="1" applyFill="1" applyBorder="1" applyAlignment="1">
      <alignment horizontal="left" vertical="top" wrapText="1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0" fillId="2" borderId="0" xfId="0" applyFont="1" applyFill="1" applyAlignment="1"/>
    <xf numFmtId="0" fontId="12" fillId="2" borderId="0" xfId="0" applyFont="1" applyFill="1" applyAlignment="1"/>
    <xf numFmtId="0" fontId="11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0" fillId="2" borderId="3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" fontId="1" fillId="2" borderId="0" xfId="0" applyNumberFormat="1" applyFont="1" applyFill="1" applyAlignment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1" fontId="5" fillId="2" borderId="24" xfId="0" applyNumberFormat="1" applyFont="1" applyFill="1" applyBorder="1" applyAlignment="1"/>
    <xf numFmtId="1" fontId="5" fillId="2" borderId="1" xfId="0" applyNumberFormat="1" applyFont="1" applyFill="1" applyBorder="1" applyAlignment="1">
      <alignment vertical="top" wrapText="1"/>
    </xf>
    <xf numFmtId="1" fontId="5" fillId="2" borderId="0" xfId="0" applyNumberFormat="1" applyFont="1" applyFill="1" applyAlignment="1"/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1" fontId="7" fillId="5" borderId="32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1" fontId="1" fillId="2" borderId="34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1" fontId="1" fillId="2" borderId="36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1" fillId="0" borderId="2" xfId="0" applyFont="1" applyBorder="1" applyAlignme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76" fontId="7" fillId="3" borderId="32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6" fillId="0" borderId="34" xfId="0" applyFont="1" applyBorder="1" applyAlignment="1">
      <alignment vertical="top" wrapText="1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177" fontId="1" fillId="0" borderId="10" xfId="0" applyNumberFormat="1" applyFont="1" applyBorder="1" applyAlignment="1">
      <alignment vertical="top"/>
    </xf>
    <xf numFmtId="0" fontId="6" fillId="0" borderId="35" xfId="0" applyFont="1" applyBorder="1" applyAlignment="1">
      <alignment vertical="top" wrapText="1"/>
    </xf>
    <xf numFmtId="176" fontId="1" fillId="0" borderId="34" xfId="0" applyNumberFormat="1" applyFont="1" applyBorder="1" applyAlignment="1">
      <alignment vertical="top"/>
    </xf>
    <xf numFmtId="0" fontId="1" fillId="0" borderId="35" xfId="0" applyFont="1" applyBorder="1" applyAlignment="1">
      <alignment vertical="top"/>
    </xf>
    <xf numFmtId="176" fontId="1" fillId="0" borderId="36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37" xfId="0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*unknown*" xfId="49"/>
    <cellStyle name="Normal_Functional Test Case v1.0" xfId="50"/>
    <cellStyle name="Normal_Sheet1" xfId="51"/>
    <cellStyle name="標準_結合試験(AllOvertheWorld)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workbookViewId="0">
      <selection activeCell="A1" sqref="A1"/>
    </sheetView>
  </sheetViews>
  <sheetFormatPr defaultColWidth="8.99074074074074" defaultRowHeight="13.2" outlineLevelCol="6"/>
  <cols>
    <col min="1" max="1" width="10" style="113" customWidth="1"/>
    <col min="2" max="2" width="18" style="114" customWidth="1"/>
    <col min="3" max="3" width="38" style="113" customWidth="1"/>
    <col min="4" max="4" width="13" style="113" customWidth="1"/>
    <col min="5" max="5" width="28" style="113" customWidth="1"/>
    <col min="6" max="6" width="27" style="113" customWidth="1"/>
    <col min="7" max="7" width="45" style="113" customWidth="1"/>
    <col min="8" max="257" width="8.99074074074074" style="113" customWidth="1"/>
  </cols>
  <sheetData>
    <row r="1" ht="13.8" spans="1:7">
      <c r="A1" s="3"/>
      <c r="B1" s="3"/>
      <c r="C1" s="3"/>
      <c r="D1" s="3"/>
      <c r="E1" s="3"/>
      <c r="F1" s="3"/>
      <c r="G1" s="3"/>
    </row>
    <row r="2" s="1" customFormat="1" ht="75.75" customHeight="1" spans="1:7">
      <c r="A2" s="115"/>
      <c r="B2" s="116"/>
      <c r="C2" s="117" t="s">
        <v>0</v>
      </c>
      <c r="D2" s="17"/>
      <c r="E2" s="17"/>
      <c r="F2" s="17"/>
      <c r="G2" s="9"/>
    </row>
    <row r="3" s="1" customFormat="1" customHeight="1" spans="1:7">
      <c r="A3" s="3"/>
      <c r="B3" s="38"/>
      <c r="C3" s="118"/>
      <c r="D3" s="3"/>
      <c r="E3" s="3"/>
      <c r="F3" s="2"/>
      <c r="G3" s="3"/>
    </row>
    <row r="4" s="1" customFormat="1" ht="14.25" customHeight="1" spans="1:7">
      <c r="A4" s="3"/>
      <c r="B4" s="10" t="s">
        <v>1</v>
      </c>
      <c r="C4" s="119" t="s">
        <v>2</v>
      </c>
      <c r="D4" s="17"/>
      <c r="E4" s="9"/>
      <c r="F4" s="10" t="s">
        <v>3</v>
      </c>
      <c r="G4" s="120" t="s">
        <v>4</v>
      </c>
    </row>
    <row r="5" s="1" customFormat="1" ht="14.25" customHeight="1" spans="1:7">
      <c r="A5" s="3"/>
      <c r="B5" s="10" t="s">
        <v>5</v>
      </c>
      <c r="C5" s="121" t="s">
        <v>6</v>
      </c>
      <c r="D5" s="17"/>
      <c r="E5" s="9"/>
      <c r="F5" s="10" t="s">
        <v>7</v>
      </c>
      <c r="G5" s="120" t="s">
        <v>8</v>
      </c>
    </row>
    <row r="6" s="1" customFormat="1" ht="15.75" customHeight="1" spans="1:7">
      <c r="A6" s="3"/>
      <c r="B6" s="7" t="s">
        <v>9</v>
      </c>
      <c r="C6" s="122" t="s">
        <v>10</v>
      </c>
      <c r="D6" s="123"/>
      <c r="E6" s="124"/>
      <c r="F6" s="10" t="s">
        <v>11</v>
      </c>
      <c r="G6" s="125" t="s">
        <v>12</v>
      </c>
    </row>
    <row r="7" s="1" customFormat="1" ht="13.5" customHeight="1" spans="1:7">
      <c r="A7" s="3"/>
      <c r="B7" s="126"/>
      <c r="C7" s="127"/>
      <c r="D7" s="52"/>
      <c r="E7" s="128"/>
      <c r="F7" s="10" t="s">
        <v>13</v>
      </c>
      <c r="G7" s="125" t="s">
        <v>14</v>
      </c>
    </row>
    <row r="8" s="1" customFormat="1" customHeight="1" spans="1:7">
      <c r="A8" s="3"/>
      <c r="B8" s="18"/>
      <c r="C8" s="118"/>
      <c r="D8" s="113"/>
      <c r="E8" s="113"/>
      <c r="F8" s="38"/>
      <c r="G8" s="118"/>
    </row>
    <row r="9" s="1" customFormat="1" customHeight="1" spans="1:7">
      <c r="A9" s="3"/>
      <c r="B9" s="114"/>
      <c r="C9" s="113"/>
      <c r="D9" s="113"/>
      <c r="E9" s="113"/>
      <c r="F9" s="113"/>
      <c r="G9" s="3"/>
    </row>
    <row r="10" s="1" customFormat="1" customHeight="1" spans="1:7">
      <c r="A10" s="3"/>
      <c r="B10" s="129" t="s">
        <v>15</v>
      </c>
      <c r="C10" s="3"/>
      <c r="D10" s="3"/>
      <c r="E10" s="3"/>
      <c r="F10" s="3"/>
      <c r="G10" s="3"/>
    </row>
    <row r="11" s="1" customFormat="1" customHeight="1" spans="1:7">
      <c r="A11" s="3"/>
      <c r="B11" s="130" t="s">
        <v>16</v>
      </c>
      <c r="C11" s="131" t="s">
        <v>13</v>
      </c>
      <c r="D11" s="131" t="s">
        <v>17</v>
      </c>
      <c r="E11" s="131" t="s">
        <v>18</v>
      </c>
      <c r="F11" s="131" t="s">
        <v>19</v>
      </c>
      <c r="G11" s="132" t="s">
        <v>20</v>
      </c>
    </row>
    <row r="12" s="1" customFormat="1" ht="39.6" customHeight="1" spans="1:7">
      <c r="A12" s="3"/>
      <c r="B12" s="133" t="s">
        <v>12</v>
      </c>
      <c r="C12" s="134" t="s">
        <v>14</v>
      </c>
      <c r="D12" s="135" t="s">
        <v>21</v>
      </c>
      <c r="E12" s="135" t="s">
        <v>22</v>
      </c>
      <c r="F12" s="136" t="s">
        <v>23</v>
      </c>
      <c r="G12" s="137" t="s">
        <v>24</v>
      </c>
    </row>
    <row r="13" s="1" customFormat="1" ht="21.75" customHeight="1" spans="1:7">
      <c r="A13" s="3"/>
      <c r="B13" s="138"/>
      <c r="C13" s="134"/>
      <c r="D13" s="135"/>
      <c r="E13" s="135"/>
      <c r="F13" s="135"/>
      <c r="G13" s="139"/>
    </row>
    <row r="14" s="1" customFormat="1" ht="19.5" customHeight="1" spans="1:7">
      <c r="A14" s="3"/>
      <c r="B14" s="138"/>
      <c r="C14" s="134"/>
      <c r="D14" s="135"/>
      <c r="E14" s="135"/>
      <c r="F14" s="135"/>
      <c r="G14" s="139"/>
    </row>
    <row r="15" s="1" customFormat="1" ht="21.75" customHeight="1" spans="1:7">
      <c r="A15" s="3"/>
      <c r="B15" s="138"/>
      <c r="C15" s="134"/>
      <c r="D15" s="135"/>
      <c r="E15" s="135"/>
      <c r="F15" s="135"/>
      <c r="G15" s="139"/>
    </row>
    <row r="16" s="1" customFormat="1" ht="19.5" customHeight="1" spans="1:7">
      <c r="A16" s="3"/>
      <c r="B16" s="138"/>
      <c r="C16" s="134"/>
      <c r="D16" s="135"/>
      <c r="E16" s="135"/>
      <c r="F16" s="135"/>
      <c r="G16" s="139"/>
    </row>
    <row r="17" s="1" customFormat="1" ht="21.75" customHeight="1" spans="1:7">
      <c r="A17" s="3"/>
      <c r="B17" s="138"/>
      <c r="C17" s="134"/>
      <c r="D17" s="135"/>
      <c r="E17" s="135"/>
      <c r="F17" s="135"/>
      <c r="G17" s="139"/>
    </row>
    <row r="18" s="1" customFormat="1" ht="19.5" customHeight="1" spans="1:7">
      <c r="A18" s="3"/>
      <c r="B18" s="140"/>
      <c r="C18" s="141"/>
      <c r="D18" s="142"/>
      <c r="E18" s="142"/>
      <c r="F18" s="142"/>
      <c r="G18" s="143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topLeftCell="A5" workbookViewId="0">
      <selection activeCell="A1" sqref="A1"/>
    </sheetView>
  </sheetViews>
  <sheetFormatPr defaultColWidth="8.99074074074074" defaultRowHeight="13.2" outlineLevelCol="5"/>
  <cols>
    <col min="1" max="1" width="10" style="2" customWidth="1"/>
    <col min="2" max="2" width="16" style="87" customWidth="1"/>
    <col min="3" max="3" width="37" style="88" customWidth="1"/>
    <col min="4" max="5" width="45" style="88" customWidth="1"/>
    <col min="6" max="6" width="41" style="88" customWidth="1"/>
    <col min="7" max="257" width="8.99074074074074" style="2" customWidth="1"/>
  </cols>
  <sheetData>
    <row r="1" s="1" customFormat="1" ht="24.6" customHeight="1" spans="1:6">
      <c r="A1" s="3"/>
      <c r="B1" s="87"/>
      <c r="C1" s="3"/>
      <c r="D1" s="89" t="s">
        <v>25</v>
      </c>
      <c r="E1" s="90"/>
      <c r="F1" s="3"/>
    </row>
    <row r="2" s="1" customFormat="1" ht="13.5" customHeight="1" spans="1:6">
      <c r="A2" s="3"/>
      <c r="B2" s="87"/>
      <c r="C2" s="3"/>
      <c r="D2" s="91"/>
      <c r="E2" s="91"/>
      <c r="F2" s="3"/>
    </row>
    <row r="3" s="1" customFormat="1" customHeight="1" spans="1:6">
      <c r="A3" s="3"/>
      <c r="B3" s="92" t="s">
        <v>1</v>
      </c>
      <c r="C3" s="17"/>
      <c r="D3" s="13" t="str">
        <f>Cover!C4</f>
        <v>Website bán quần áo tích hợp chatbot</v>
      </c>
      <c r="E3" s="17"/>
      <c r="F3" s="9"/>
    </row>
    <row r="4" s="1" customFormat="1" customHeight="1" spans="1:6">
      <c r="A4" s="3"/>
      <c r="B4" s="92" t="s">
        <v>5</v>
      </c>
      <c r="C4" s="17"/>
      <c r="D4" s="13" t="str">
        <f>Cover!C5</f>
        <v>WCB</v>
      </c>
      <c r="E4" s="17"/>
      <c r="F4" s="9"/>
    </row>
    <row r="5" s="1" customFormat="1" ht="84.75" customHeight="1" spans="1:6">
      <c r="A5" s="3"/>
      <c r="B5" s="93" t="s">
        <v>26</v>
      </c>
      <c r="C5" s="9"/>
      <c r="D5" s="16" t="s">
        <v>27</v>
      </c>
      <c r="E5" s="17"/>
      <c r="F5" s="9"/>
    </row>
    <row r="6" s="1" customFormat="1" customHeight="1" spans="1:6">
      <c r="A6" s="3"/>
      <c r="B6" s="94"/>
      <c r="C6" s="2"/>
      <c r="D6" s="2"/>
      <c r="E6" s="2"/>
      <c r="F6" s="2"/>
    </row>
    <row r="7" s="1" customFormat="1" customHeight="1" spans="1:6">
      <c r="A7" s="3"/>
      <c r="B7" s="95"/>
      <c r="C7" s="96"/>
      <c r="D7" s="96"/>
      <c r="E7" s="96"/>
      <c r="F7" s="96"/>
    </row>
    <row r="8" s="1" customFormat="1" ht="21" customHeight="1" spans="1:6">
      <c r="A8" s="82"/>
      <c r="B8" s="97" t="s">
        <v>28</v>
      </c>
      <c r="C8" s="98" t="s">
        <v>29</v>
      </c>
      <c r="D8" s="98" t="s">
        <v>30</v>
      </c>
      <c r="E8" s="99" t="s">
        <v>31</v>
      </c>
      <c r="F8" s="100" t="s">
        <v>32</v>
      </c>
    </row>
    <row r="9" s="1" customFormat="1" ht="30" customHeight="1" spans="1:6">
      <c r="A9" s="3"/>
      <c r="B9" s="101">
        <v>1</v>
      </c>
      <c r="C9" s="102" t="s">
        <v>33</v>
      </c>
      <c r="D9" s="103" t="s">
        <v>34</v>
      </c>
      <c r="E9" s="104" t="s">
        <v>35</v>
      </c>
      <c r="F9" s="105" t="s">
        <v>36</v>
      </c>
    </row>
    <row r="10" s="1" customFormat="1" ht="30" customHeight="1" spans="1:6">
      <c r="A10" s="3"/>
      <c r="B10" s="101">
        <v>2</v>
      </c>
      <c r="C10" s="102" t="s">
        <v>37</v>
      </c>
      <c r="D10" s="103" t="s">
        <v>38</v>
      </c>
      <c r="E10" s="104" t="s">
        <v>39</v>
      </c>
      <c r="F10" s="106" t="s">
        <v>40</v>
      </c>
    </row>
    <row r="11" s="1" customFormat="1" customHeight="1" spans="1:6">
      <c r="A11" s="3"/>
      <c r="B11" s="101"/>
      <c r="C11" s="107"/>
      <c r="D11" s="103" t="s">
        <v>41</v>
      </c>
      <c r="E11" s="103"/>
      <c r="F11" s="105"/>
    </row>
    <row r="12" s="1" customFormat="1" customHeight="1" spans="1:6">
      <c r="A12" s="3"/>
      <c r="B12" s="101"/>
      <c r="C12" s="107"/>
      <c r="D12" s="103" t="s">
        <v>42</v>
      </c>
      <c r="E12" s="103"/>
      <c r="F12" s="105"/>
    </row>
    <row r="13" s="1" customFormat="1" customHeight="1" spans="1:6">
      <c r="A13" s="3"/>
      <c r="B13" s="101"/>
      <c r="C13" s="107"/>
      <c r="D13" s="103" t="s">
        <v>43</v>
      </c>
      <c r="E13" s="103"/>
      <c r="F13" s="105"/>
    </row>
    <row r="14" s="1" customFormat="1" customHeight="1" spans="1:6">
      <c r="A14" s="3"/>
      <c r="B14" s="101"/>
      <c r="C14" s="107"/>
      <c r="D14" s="108"/>
      <c r="E14" s="108"/>
      <c r="F14" s="105"/>
    </row>
    <row r="15" s="1" customFormat="1" customHeight="1" spans="1:6">
      <c r="A15" s="3"/>
      <c r="B15" s="101"/>
      <c r="C15" s="107"/>
      <c r="D15" s="108"/>
      <c r="E15" s="108"/>
      <c r="F15" s="105"/>
    </row>
    <row r="16" s="1" customFormat="1" customHeight="1" spans="1:6">
      <c r="A16" s="3"/>
      <c r="B16" s="101"/>
      <c r="C16" s="107"/>
      <c r="D16" s="108"/>
      <c r="E16" s="108"/>
      <c r="F16" s="105"/>
    </row>
    <row r="17" s="1" customFormat="1" customHeight="1" spans="1:6">
      <c r="A17" s="3"/>
      <c r="B17" s="101"/>
      <c r="C17" s="107"/>
      <c r="D17" s="108"/>
      <c r="E17" s="108"/>
      <c r="F17" s="105"/>
    </row>
    <row r="18" s="1" customFormat="1" customHeight="1" spans="1:6">
      <c r="A18" s="3"/>
      <c r="B18" s="101"/>
      <c r="C18" s="107"/>
      <c r="D18" s="108"/>
      <c r="E18" s="108"/>
      <c r="F18" s="105"/>
    </row>
    <row r="19" s="1" customFormat="1" customHeight="1" spans="1:6">
      <c r="A19" s="3"/>
      <c r="B19" s="101"/>
      <c r="C19" s="107"/>
      <c r="D19" s="108"/>
      <c r="E19" s="108"/>
      <c r="F19" s="105"/>
    </row>
    <row r="20" s="1" customFormat="1" customHeight="1" spans="1:6">
      <c r="A20" s="3"/>
      <c r="B20" s="101"/>
      <c r="C20" s="107"/>
      <c r="D20" s="108"/>
      <c r="E20" s="108"/>
      <c r="F20" s="105"/>
    </row>
    <row r="21" s="1" customFormat="1" customHeight="1" spans="1:6">
      <c r="A21" s="3"/>
      <c r="B21" s="109"/>
      <c r="C21" s="110"/>
      <c r="D21" s="111"/>
      <c r="E21" s="111"/>
      <c r="F21" s="112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zoomScale="55" zoomScaleNormal="55" workbookViewId="0">
      <selection activeCell="E36" sqref="E36"/>
    </sheetView>
  </sheetViews>
  <sheetFormatPr defaultColWidth="8.99074074074074" defaultRowHeight="13.2"/>
  <cols>
    <col min="1" max="1" width="16" style="2" customWidth="1"/>
    <col min="2" max="5" width="45" style="2" customWidth="1"/>
    <col min="6" max="6" width="12" style="2" customWidth="1"/>
    <col min="7" max="8" width="45" style="2" customWidth="1"/>
    <col min="9" max="9" width="10" style="41" customWidth="1"/>
    <col min="10" max="10" width="10" style="2" customWidth="1"/>
    <col min="11" max="257" width="8.99074074074074" style="2" customWidth="1"/>
  </cols>
  <sheetData>
    <row r="1" s="1" customFormat="1" customHeight="1" spans="1:10">
      <c r="A1" s="42"/>
      <c r="B1" s="43"/>
      <c r="C1" s="43"/>
      <c r="D1" s="43"/>
      <c r="E1" s="43"/>
      <c r="F1" s="44"/>
      <c r="G1" s="45"/>
      <c r="H1" s="46"/>
      <c r="I1" s="77"/>
      <c r="J1" s="3"/>
    </row>
    <row r="2" s="1" customFormat="1" ht="15" customHeight="1" spans="1:10">
      <c r="A2" s="47" t="s">
        <v>44</v>
      </c>
      <c r="B2" s="48" t="s">
        <v>45</v>
      </c>
      <c r="C2" s="17"/>
      <c r="D2" s="17"/>
      <c r="E2" s="17"/>
      <c r="F2" s="49"/>
      <c r="G2" s="46"/>
      <c r="H2" s="46"/>
      <c r="I2" s="77"/>
      <c r="J2" s="78" t="s">
        <v>46</v>
      </c>
    </row>
    <row r="3" s="1" customFormat="1" ht="25.5" customHeight="1" spans="1:10">
      <c r="A3" s="50" t="s">
        <v>47</v>
      </c>
      <c r="B3" s="48" t="s">
        <v>48</v>
      </c>
      <c r="C3" s="17"/>
      <c r="D3" s="17"/>
      <c r="E3" s="17"/>
      <c r="F3" s="49"/>
      <c r="G3" s="46"/>
      <c r="H3" s="46"/>
      <c r="I3" s="77"/>
      <c r="J3" s="78" t="s">
        <v>49</v>
      </c>
    </row>
    <row r="4" s="1" customFormat="1" ht="18" customHeight="1" spans="1:10">
      <c r="A4" s="47" t="s">
        <v>50</v>
      </c>
      <c r="B4" s="51" t="s">
        <v>51</v>
      </c>
      <c r="C4" s="52"/>
      <c r="D4" s="52"/>
      <c r="E4" s="52"/>
      <c r="F4" s="53"/>
      <c r="G4" s="46"/>
      <c r="H4" s="46"/>
      <c r="I4" s="77"/>
      <c r="J4" s="79"/>
    </row>
    <row r="5" s="1" customFormat="1" ht="19.5" customHeight="1" spans="1:10">
      <c r="A5" s="54" t="s">
        <v>46</v>
      </c>
      <c r="B5" s="55" t="s">
        <v>49</v>
      </c>
      <c r="C5" s="55" t="s">
        <v>52</v>
      </c>
      <c r="D5" s="56" t="s">
        <v>53</v>
      </c>
      <c r="E5" s="57" t="s">
        <v>54</v>
      </c>
      <c r="F5" s="49"/>
      <c r="G5" s="58"/>
      <c r="H5" s="58"/>
      <c r="I5" s="80"/>
      <c r="J5" s="78" t="s">
        <v>55</v>
      </c>
    </row>
    <row r="6" s="1" customFormat="1" ht="15" customHeight="1" spans="1:10">
      <c r="A6" s="84">
        <f>COUNTIF(F9:F998,"Pass")</f>
        <v>17</v>
      </c>
      <c r="B6" s="60">
        <f>COUNTIF(F9:F998,"Fail")</f>
        <v>5</v>
      </c>
      <c r="C6" s="60">
        <f>E6-D6-B6-A6</f>
        <v>0</v>
      </c>
      <c r="D6" s="61">
        <f>COUNTIF(F$9:F$998,"N/A")</f>
        <v>0</v>
      </c>
      <c r="E6" s="62">
        <f>COUNTA(A9:A998)</f>
        <v>22</v>
      </c>
      <c r="F6" s="63"/>
      <c r="G6" s="58"/>
      <c r="H6" s="58"/>
      <c r="I6" s="80"/>
      <c r="J6" s="78" t="s">
        <v>53</v>
      </c>
    </row>
    <row r="7" s="1" customFormat="1" ht="15" customHeight="1" spans="1:10">
      <c r="A7" s="3"/>
      <c r="B7" s="3"/>
      <c r="C7" s="3"/>
      <c r="D7" s="40"/>
      <c r="E7" s="40"/>
      <c r="F7" s="58"/>
      <c r="G7" s="58"/>
      <c r="H7" s="58"/>
      <c r="I7" s="80"/>
      <c r="J7" s="3"/>
    </row>
    <row r="8" s="1" customFormat="1" ht="25.5" customHeight="1" spans="1:10">
      <c r="A8" s="64" t="s">
        <v>56</v>
      </c>
      <c r="B8" s="64" t="s">
        <v>57</v>
      </c>
      <c r="C8" s="64" t="s">
        <v>58</v>
      </c>
      <c r="D8" s="64" t="s">
        <v>59</v>
      </c>
      <c r="E8" s="65" t="s">
        <v>60</v>
      </c>
      <c r="F8" s="65" t="s">
        <v>61</v>
      </c>
      <c r="G8" s="65" t="s">
        <v>60</v>
      </c>
      <c r="H8" s="64" t="s">
        <v>31</v>
      </c>
      <c r="I8" s="81"/>
      <c r="J8" s="82"/>
    </row>
    <row r="9" s="1" customFormat="1" ht="85.5" customHeight="1" spans="1:10">
      <c r="A9" s="69" t="s">
        <v>62</v>
      </c>
      <c r="B9" s="69" t="s">
        <v>63</v>
      </c>
      <c r="C9" s="69" t="s">
        <v>64</v>
      </c>
      <c r="D9" s="69" t="s">
        <v>65</v>
      </c>
      <c r="E9" s="69" t="s">
        <v>66</v>
      </c>
      <c r="F9" s="69" t="s">
        <v>46</v>
      </c>
      <c r="G9" s="69" t="s">
        <v>67</v>
      </c>
      <c r="H9" s="69" t="s">
        <v>68</v>
      </c>
      <c r="I9" s="77"/>
      <c r="J9" s="3"/>
    </row>
    <row r="10" s="1" customFormat="1" ht="85.5" customHeight="1" spans="1:10">
      <c r="A10" s="69" t="s">
        <v>69</v>
      </c>
      <c r="B10" s="69" t="s">
        <v>70</v>
      </c>
      <c r="C10" s="69" t="s">
        <v>71</v>
      </c>
      <c r="D10" s="69" t="s">
        <v>72</v>
      </c>
      <c r="E10" s="69" t="s">
        <v>73</v>
      </c>
      <c r="F10" s="69" t="s">
        <v>46</v>
      </c>
      <c r="G10" s="69" t="s">
        <v>74</v>
      </c>
      <c r="H10" s="69" t="s">
        <v>68</v>
      </c>
      <c r="I10" s="77"/>
      <c r="J10" s="3"/>
    </row>
    <row r="11" s="1" customFormat="1" ht="75" customHeight="1" spans="1:10">
      <c r="A11" s="69" t="s">
        <v>75</v>
      </c>
      <c r="B11" s="69" t="s">
        <v>76</v>
      </c>
      <c r="C11" s="69" t="s">
        <v>77</v>
      </c>
      <c r="D11" s="70" t="s">
        <v>78</v>
      </c>
      <c r="E11" s="70" t="s">
        <v>79</v>
      </c>
      <c r="F11" s="69" t="s">
        <v>46</v>
      </c>
      <c r="G11" s="69" t="s">
        <v>80</v>
      </c>
      <c r="H11" s="69" t="s">
        <v>68</v>
      </c>
      <c r="I11" s="77"/>
      <c r="J11" s="3"/>
    </row>
    <row r="12" s="1" customFormat="1" ht="75" customHeight="1" spans="1:10">
      <c r="A12" s="69" t="s">
        <v>81</v>
      </c>
      <c r="B12" s="69" t="s">
        <v>82</v>
      </c>
      <c r="C12" s="69" t="s">
        <v>83</v>
      </c>
      <c r="D12" s="70" t="s">
        <v>84</v>
      </c>
      <c r="E12" s="70" t="s">
        <v>85</v>
      </c>
      <c r="F12" s="69" t="s">
        <v>46</v>
      </c>
      <c r="G12" s="69" t="s">
        <v>86</v>
      </c>
      <c r="H12" s="69" t="s">
        <v>68</v>
      </c>
      <c r="I12" s="77"/>
      <c r="J12" s="3"/>
    </row>
    <row r="13" s="1" customFormat="1" ht="75" customHeight="1" spans="1:10">
      <c r="A13" s="71" t="s">
        <v>87</v>
      </c>
      <c r="B13" s="72" t="s">
        <v>88</v>
      </c>
      <c r="C13" s="72" t="s">
        <v>89</v>
      </c>
      <c r="D13" s="72" t="s">
        <v>90</v>
      </c>
      <c r="E13" s="72" t="s">
        <v>91</v>
      </c>
      <c r="F13" s="72" t="s">
        <v>46</v>
      </c>
      <c r="G13" s="72" t="s">
        <v>92</v>
      </c>
      <c r="H13" s="72" t="s">
        <v>68</v>
      </c>
      <c r="I13" s="83"/>
      <c r="J13" s="3"/>
    </row>
    <row r="14" s="1" customFormat="1" ht="75" customHeight="1" spans="1:10">
      <c r="A14" s="69" t="s">
        <v>93</v>
      </c>
      <c r="B14" s="69" t="s">
        <v>94</v>
      </c>
      <c r="C14" s="69" t="s">
        <v>95</v>
      </c>
      <c r="D14" s="69" t="s">
        <v>96</v>
      </c>
      <c r="E14" s="69" t="s">
        <v>97</v>
      </c>
      <c r="F14" s="69" t="s">
        <v>46</v>
      </c>
      <c r="G14" s="69" t="s">
        <v>98</v>
      </c>
      <c r="H14" s="69" t="s">
        <v>68</v>
      </c>
      <c r="I14" s="77"/>
      <c r="J14" s="3"/>
    </row>
    <row r="15" s="1" customFormat="1" ht="75" customHeight="1" spans="1:10">
      <c r="A15" s="69" t="s">
        <v>99</v>
      </c>
      <c r="B15" s="69" t="s">
        <v>100</v>
      </c>
      <c r="C15" s="69" t="s">
        <v>101</v>
      </c>
      <c r="D15" s="69" t="s">
        <v>102</v>
      </c>
      <c r="E15" s="69" t="s">
        <v>103</v>
      </c>
      <c r="F15" s="69" t="s">
        <v>46</v>
      </c>
      <c r="G15" s="69" t="s">
        <v>104</v>
      </c>
      <c r="H15" s="69" t="s">
        <v>68</v>
      </c>
      <c r="I15" s="41"/>
      <c r="J15" s="3"/>
    </row>
    <row r="16" s="1" customFormat="1" ht="75" customHeight="1" spans="1:10">
      <c r="A16" s="71" t="s">
        <v>105</v>
      </c>
      <c r="B16" s="72" t="s">
        <v>106</v>
      </c>
      <c r="C16" s="72" t="s">
        <v>107</v>
      </c>
      <c r="D16" s="72" t="s">
        <v>108</v>
      </c>
      <c r="E16" s="72" t="s">
        <v>109</v>
      </c>
      <c r="F16" s="72" t="s">
        <v>46</v>
      </c>
      <c r="G16" s="72" t="s">
        <v>110</v>
      </c>
      <c r="H16" s="72" t="s">
        <v>68</v>
      </c>
      <c r="I16" s="83"/>
      <c r="J16" s="3"/>
    </row>
    <row r="17" s="1" customFormat="1" ht="75" customHeight="1" spans="1:10">
      <c r="A17" s="69" t="s">
        <v>111</v>
      </c>
      <c r="B17" s="69" t="s">
        <v>112</v>
      </c>
      <c r="C17" s="69" t="s">
        <v>113</v>
      </c>
      <c r="D17" s="69" t="s">
        <v>114</v>
      </c>
      <c r="E17" s="69" t="s">
        <v>79</v>
      </c>
      <c r="F17" s="69" t="s">
        <v>49</v>
      </c>
      <c r="G17" s="69" t="s">
        <v>115</v>
      </c>
      <c r="H17" s="69" t="s">
        <v>116</v>
      </c>
      <c r="I17" s="77"/>
      <c r="J17" s="3"/>
    </row>
    <row r="18" s="1" customFormat="1" ht="75" customHeight="1" spans="1:10">
      <c r="A18" s="85" t="s">
        <v>117</v>
      </c>
      <c r="B18" s="86" t="s">
        <v>118</v>
      </c>
      <c r="C18" s="86" t="s">
        <v>119</v>
      </c>
      <c r="D18" s="86" t="s">
        <v>120</v>
      </c>
      <c r="E18" s="86" t="s">
        <v>121</v>
      </c>
      <c r="F18" s="86" t="s">
        <v>49</v>
      </c>
      <c r="G18" s="86" t="s">
        <v>122</v>
      </c>
      <c r="H18" s="86" t="s">
        <v>116</v>
      </c>
      <c r="I18" s="3"/>
      <c r="J18" s="3"/>
    </row>
    <row r="19" s="1" customFormat="1" ht="75" customHeight="1" spans="1:10">
      <c r="A19" s="85" t="s">
        <v>123</v>
      </c>
      <c r="B19" s="86" t="s">
        <v>124</v>
      </c>
      <c r="C19" s="86" t="s">
        <v>125</v>
      </c>
      <c r="D19" s="86" t="s">
        <v>126</v>
      </c>
      <c r="E19" s="86" t="s">
        <v>127</v>
      </c>
      <c r="F19" s="86" t="s">
        <v>46</v>
      </c>
      <c r="G19" s="86" t="s">
        <v>128</v>
      </c>
      <c r="H19" s="86" t="s">
        <v>68</v>
      </c>
      <c r="I19" s="3"/>
      <c r="J19" s="3"/>
    </row>
    <row r="20" s="1" customFormat="1" ht="75" customHeight="1" spans="1:10">
      <c r="A20" s="85" t="s">
        <v>129</v>
      </c>
      <c r="B20" s="86" t="s">
        <v>130</v>
      </c>
      <c r="C20" s="86" t="s">
        <v>131</v>
      </c>
      <c r="D20" s="86" t="s">
        <v>132</v>
      </c>
      <c r="E20" s="86" t="s">
        <v>133</v>
      </c>
      <c r="F20" s="86" t="s">
        <v>46</v>
      </c>
      <c r="G20" s="86" t="s">
        <v>134</v>
      </c>
      <c r="H20" s="86" t="s">
        <v>68</v>
      </c>
      <c r="I20" s="3"/>
      <c r="J20" s="3"/>
    </row>
    <row r="21" s="1" customFormat="1" ht="75" customHeight="1" spans="1:10">
      <c r="A21" s="85" t="s">
        <v>135</v>
      </c>
      <c r="B21" s="86" t="s">
        <v>136</v>
      </c>
      <c r="C21" s="86" t="s">
        <v>137</v>
      </c>
      <c r="D21" s="86" t="s">
        <v>138</v>
      </c>
      <c r="E21" s="86" t="s">
        <v>139</v>
      </c>
      <c r="F21" s="86" t="s">
        <v>46</v>
      </c>
      <c r="G21" s="86" t="s">
        <v>140</v>
      </c>
      <c r="H21" s="86" t="s">
        <v>68</v>
      </c>
      <c r="I21" s="3"/>
      <c r="J21" s="3"/>
    </row>
    <row r="22" s="1" customFormat="1" ht="75" customHeight="1" spans="1:10">
      <c r="A22" s="85" t="s">
        <v>141</v>
      </c>
      <c r="B22" s="86" t="s">
        <v>142</v>
      </c>
      <c r="C22" s="86" t="s">
        <v>143</v>
      </c>
      <c r="D22" s="86" t="s">
        <v>144</v>
      </c>
      <c r="E22" s="86" t="s">
        <v>145</v>
      </c>
      <c r="F22" s="86" t="s">
        <v>49</v>
      </c>
      <c r="G22" s="86" t="s">
        <v>146</v>
      </c>
      <c r="H22" s="86" t="s">
        <v>116</v>
      </c>
      <c r="I22" s="3"/>
      <c r="J22" s="3"/>
    </row>
    <row r="23" s="1" customFormat="1" ht="75" customHeight="1" spans="1:10">
      <c r="A23" s="85" t="s">
        <v>147</v>
      </c>
      <c r="B23" s="86" t="s">
        <v>148</v>
      </c>
      <c r="C23" s="86" t="s">
        <v>149</v>
      </c>
      <c r="D23" s="86" t="s">
        <v>150</v>
      </c>
      <c r="E23" s="86" t="s">
        <v>151</v>
      </c>
      <c r="F23" s="86" t="s">
        <v>49</v>
      </c>
      <c r="G23" s="86" t="s">
        <v>152</v>
      </c>
      <c r="H23" s="86" t="s">
        <v>153</v>
      </c>
      <c r="I23" s="3"/>
      <c r="J23" s="3"/>
    </row>
    <row r="24" s="1" customFormat="1" ht="75" customHeight="1" spans="1:10">
      <c r="A24" s="85" t="s">
        <v>154</v>
      </c>
      <c r="B24" s="86" t="s">
        <v>155</v>
      </c>
      <c r="C24" s="86" t="s">
        <v>156</v>
      </c>
      <c r="D24" s="86" t="s">
        <v>157</v>
      </c>
      <c r="E24" s="86" t="s">
        <v>158</v>
      </c>
      <c r="F24" s="86" t="s">
        <v>46</v>
      </c>
      <c r="G24" s="86" t="s">
        <v>159</v>
      </c>
      <c r="H24" s="86" t="s">
        <v>68</v>
      </c>
      <c r="I24" s="3"/>
      <c r="J24" s="3"/>
    </row>
    <row r="25" s="1" customFormat="1" ht="75" customHeight="1" spans="1:10">
      <c r="A25" s="85" t="s">
        <v>160</v>
      </c>
      <c r="B25" s="86" t="s">
        <v>161</v>
      </c>
      <c r="C25" s="86" t="s">
        <v>162</v>
      </c>
      <c r="D25" s="86" t="s">
        <v>163</v>
      </c>
      <c r="E25" s="86" t="s">
        <v>164</v>
      </c>
      <c r="F25" s="86" t="s">
        <v>46</v>
      </c>
      <c r="G25" s="86" t="s">
        <v>165</v>
      </c>
      <c r="H25" s="86" t="s">
        <v>68</v>
      </c>
      <c r="I25" s="3"/>
      <c r="J25" s="3"/>
    </row>
    <row r="26" s="1" customFormat="1" ht="75" customHeight="1" spans="1:10">
      <c r="A26" s="85" t="s">
        <v>166</v>
      </c>
      <c r="B26" s="86" t="s">
        <v>167</v>
      </c>
      <c r="C26" s="86" t="s">
        <v>168</v>
      </c>
      <c r="D26" s="86" t="s">
        <v>169</v>
      </c>
      <c r="E26" s="86" t="s">
        <v>170</v>
      </c>
      <c r="F26" s="86" t="s">
        <v>49</v>
      </c>
      <c r="G26" s="86" t="s">
        <v>171</v>
      </c>
      <c r="H26" s="86" t="s">
        <v>172</v>
      </c>
      <c r="I26" s="3"/>
      <c r="J26" s="3"/>
    </row>
    <row r="27" s="1" customFormat="1" ht="75" customHeight="1" spans="1:10">
      <c r="A27" s="85" t="s">
        <v>173</v>
      </c>
      <c r="B27" s="86" t="s">
        <v>174</v>
      </c>
      <c r="C27" s="86" t="s">
        <v>175</v>
      </c>
      <c r="D27" s="86" t="s">
        <v>176</v>
      </c>
      <c r="E27" s="86" t="s">
        <v>177</v>
      </c>
      <c r="F27" s="86" t="s">
        <v>46</v>
      </c>
      <c r="G27" s="86" t="s">
        <v>178</v>
      </c>
      <c r="H27" s="86" t="s">
        <v>68</v>
      </c>
      <c r="I27" s="3"/>
      <c r="J27" s="3"/>
    </row>
    <row r="28" s="1" customFormat="1" ht="75" customHeight="1" spans="1:10">
      <c r="A28" s="85" t="s">
        <v>179</v>
      </c>
      <c r="B28" s="86" t="s">
        <v>180</v>
      </c>
      <c r="C28" s="86" t="s">
        <v>181</v>
      </c>
      <c r="D28" s="86" t="s">
        <v>182</v>
      </c>
      <c r="E28" s="86" t="s">
        <v>183</v>
      </c>
      <c r="F28" s="86" t="s">
        <v>46</v>
      </c>
      <c r="G28" s="86" t="s">
        <v>184</v>
      </c>
      <c r="H28" s="86" t="s">
        <v>68</v>
      </c>
      <c r="I28" s="3"/>
      <c r="J28" s="3"/>
    </row>
    <row r="29" s="1" customFormat="1" ht="75" customHeight="1" spans="1:10">
      <c r="A29" s="85" t="s">
        <v>185</v>
      </c>
      <c r="B29" s="86" t="s">
        <v>186</v>
      </c>
      <c r="C29" s="86" t="s">
        <v>187</v>
      </c>
      <c r="D29" s="86" t="s">
        <v>188</v>
      </c>
      <c r="E29" s="86" t="s">
        <v>189</v>
      </c>
      <c r="F29" s="86" t="s">
        <v>46</v>
      </c>
      <c r="G29" s="86" t="s">
        <v>190</v>
      </c>
      <c r="H29" s="86" t="s">
        <v>68</v>
      </c>
      <c r="I29" s="3"/>
      <c r="J29" s="3"/>
    </row>
    <row r="30" s="1" customFormat="1" ht="75" customHeight="1" spans="1:10">
      <c r="A30" s="85" t="s">
        <v>191</v>
      </c>
      <c r="B30" s="86" t="s">
        <v>192</v>
      </c>
      <c r="C30" s="86" t="s">
        <v>193</v>
      </c>
      <c r="D30" s="86" t="s">
        <v>194</v>
      </c>
      <c r="E30" s="86" t="s">
        <v>195</v>
      </c>
      <c r="F30" s="86" t="s">
        <v>46</v>
      </c>
      <c r="G30" s="86" t="s">
        <v>196</v>
      </c>
      <c r="H30" s="86" t="s">
        <v>68</v>
      </c>
      <c r="I30" s="3"/>
      <c r="J30" s="3"/>
    </row>
  </sheetData>
  <mergeCells count="5">
    <mergeCell ref="B2:F2"/>
    <mergeCell ref="B3:F3"/>
    <mergeCell ref="B4:F4"/>
    <mergeCell ref="E5:F5"/>
    <mergeCell ref="E6:F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zoomScale="40" zoomScaleNormal="40" workbookViewId="0">
      <selection activeCell="M23" sqref="M23"/>
    </sheetView>
  </sheetViews>
  <sheetFormatPr defaultColWidth="8.99074074074074" defaultRowHeight="13.2"/>
  <cols>
    <col min="1" max="1" width="16" style="2" customWidth="1"/>
    <col min="2" max="4" width="45" style="2" customWidth="1"/>
    <col min="5" max="5" width="32" style="2" customWidth="1"/>
    <col min="6" max="7" width="12" style="2" customWidth="1"/>
    <col min="8" max="8" width="45" style="2" customWidth="1"/>
    <col min="9" max="9" width="10" style="41" customWidth="1"/>
    <col min="10" max="257" width="10" style="2" customWidth="1"/>
  </cols>
  <sheetData>
    <row r="1" s="1" customFormat="1" customHeight="1" spans="1:11">
      <c r="A1" s="42"/>
      <c r="B1" s="43"/>
      <c r="C1" s="43"/>
      <c r="D1" s="43"/>
      <c r="E1" s="43"/>
      <c r="F1" s="44"/>
      <c r="G1" s="45"/>
      <c r="H1" s="46"/>
      <c r="I1" s="77"/>
      <c r="J1" s="3"/>
      <c r="K1" s="3"/>
    </row>
    <row r="2" s="1" customFormat="1" ht="15" customHeight="1" spans="1:11">
      <c r="A2" s="47" t="s">
        <v>44</v>
      </c>
      <c r="B2" s="48" t="s">
        <v>197</v>
      </c>
      <c r="C2" s="17"/>
      <c r="D2" s="17"/>
      <c r="E2" s="17"/>
      <c r="F2" s="49"/>
      <c r="G2" s="46"/>
      <c r="H2" s="46"/>
      <c r="I2" s="77"/>
      <c r="J2" s="78" t="s">
        <v>46</v>
      </c>
      <c r="K2" s="3"/>
    </row>
    <row r="3" s="1" customFormat="1" ht="25.5" customHeight="1" spans="1:11">
      <c r="A3" s="50" t="s">
        <v>47</v>
      </c>
      <c r="B3" s="48" t="s">
        <v>198</v>
      </c>
      <c r="C3" s="17"/>
      <c r="D3" s="17"/>
      <c r="E3" s="17"/>
      <c r="F3" s="49"/>
      <c r="G3" s="46"/>
      <c r="H3" s="46"/>
      <c r="I3" s="77"/>
      <c r="J3" s="78" t="s">
        <v>49</v>
      </c>
      <c r="K3" s="3"/>
    </row>
    <row r="4" s="1" customFormat="1" ht="18" customHeight="1" spans="1:11">
      <c r="A4" s="47" t="s">
        <v>50</v>
      </c>
      <c r="B4" s="51" t="s">
        <v>51</v>
      </c>
      <c r="C4" s="52"/>
      <c r="D4" s="52"/>
      <c r="E4" s="52"/>
      <c r="F4" s="53"/>
      <c r="G4" s="46"/>
      <c r="H4" s="46"/>
      <c r="I4" s="77"/>
      <c r="J4" s="79"/>
      <c r="K4" s="3"/>
    </row>
    <row r="5" s="1" customFormat="1" ht="19.5" customHeight="1" spans="1:11">
      <c r="A5" s="54" t="s">
        <v>46</v>
      </c>
      <c r="B5" s="55" t="s">
        <v>49</v>
      </c>
      <c r="C5" s="55" t="s">
        <v>52</v>
      </c>
      <c r="D5" s="56" t="s">
        <v>53</v>
      </c>
      <c r="E5" s="57" t="s">
        <v>54</v>
      </c>
      <c r="F5" s="49"/>
      <c r="G5" s="58"/>
      <c r="H5" s="58"/>
      <c r="I5" s="80"/>
      <c r="J5" s="78" t="s">
        <v>55</v>
      </c>
      <c r="K5" s="3"/>
    </row>
    <row r="6" s="1" customFormat="1" ht="15" customHeight="1" spans="1:11">
      <c r="A6" s="59">
        <f>COUNTIF(F10:F998,"Pass")</f>
        <v>16</v>
      </c>
      <c r="B6" s="60">
        <f>COUNTIF(F10:F998,"Fail")</f>
        <v>1</v>
      </c>
      <c r="C6" s="60">
        <f>E6-D6-B6-A6</f>
        <v>0</v>
      </c>
      <c r="D6" s="61">
        <f>COUNTIF(F$10:F$998,"N/A")</f>
        <v>0</v>
      </c>
      <c r="E6" s="62">
        <f>COUNTA(A10:A998)</f>
        <v>17</v>
      </c>
      <c r="F6" s="63"/>
      <c r="G6" s="58"/>
      <c r="H6" s="58"/>
      <c r="I6" s="80"/>
      <c r="J6" s="78" t="s">
        <v>53</v>
      </c>
      <c r="K6" s="3"/>
    </row>
    <row r="7" s="1" customFormat="1" ht="15" customHeight="1" spans="1:11">
      <c r="A7" s="3"/>
      <c r="B7" s="3"/>
      <c r="C7" s="3"/>
      <c r="D7" s="40"/>
      <c r="E7" s="40"/>
      <c r="F7" s="40"/>
      <c r="G7" s="40"/>
      <c r="H7" s="40"/>
      <c r="I7" s="80"/>
      <c r="J7" s="3"/>
      <c r="K7" s="3"/>
    </row>
    <row r="8" s="1" customFormat="1" ht="25.5" customHeight="1" spans="1:11">
      <c r="A8" s="64" t="s">
        <v>56</v>
      </c>
      <c r="B8" s="64" t="s">
        <v>57</v>
      </c>
      <c r="C8" s="64" t="s">
        <v>58</v>
      </c>
      <c r="D8" s="64" t="s">
        <v>59</v>
      </c>
      <c r="E8" s="65" t="s">
        <v>199</v>
      </c>
      <c r="F8" s="65" t="s">
        <v>61</v>
      </c>
      <c r="G8" s="65" t="s">
        <v>200</v>
      </c>
      <c r="H8" s="64" t="s">
        <v>201</v>
      </c>
      <c r="I8" s="81"/>
      <c r="J8" s="82"/>
      <c r="K8" s="82"/>
    </row>
    <row r="9" s="1" customFormat="1" ht="15.75" customHeight="1" spans="1:11">
      <c r="A9" s="66"/>
      <c r="B9" s="66"/>
      <c r="C9" s="67"/>
      <c r="D9" s="67"/>
      <c r="E9" s="67"/>
      <c r="F9" s="67"/>
      <c r="G9" s="67"/>
      <c r="H9" s="68"/>
      <c r="I9" s="83"/>
      <c r="J9" s="3"/>
      <c r="K9" s="3"/>
    </row>
    <row r="10" s="1" customFormat="1" ht="120.9" customHeight="1" spans="1:11">
      <c r="A10" s="69" t="s">
        <v>202</v>
      </c>
      <c r="B10" s="8" t="s">
        <v>203</v>
      </c>
      <c r="C10" s="8" t="s">
        <v>204</v>
      </c>
      <c r="D10" s="8" t="s">
        <v>205</v>
      </c>
      <c r="E10" s="8" t="s">
        <v>206</v>
      </c>
      <c r="F10" s="69" t="s">
        <v>46</v>
      </c>
      <c r="G10" s="69" t="s">
        <v>12</v>
      </c>
      <c r="H10" s="70" t="s">
        <v>68</v>
      </c>
      <c r="I10" s="77"/>
      <c r="J10" s="3"/>
      <c r="K10" s="3"/>
    </row>
    <row r="11" s="1" customFormat="1" ht="75" customHeight="1" spans="1:11">
      <c r="A11" s="69" t="s">
        <v>207</v>
      </c>
      <c r="B11" s="69" t="s">
        <v>208</v>
      </c>
      <c r="C11" s="69" t="s">
        <v>209</v>
      </c>
      <c r="D11" s="70" t="s">
        <v>210</v>
      </c>
      <c r="E11" s="70" t="s">
        <v>206</v>
      </c>
      <c r="F11" s="69" t="s">
        <v>46</v>
      </c>
      <c r="G11" s="69" t="s">
        <v>12</v>
      </c>
      <c r="H11" s="70" t="s">
        <v>68</v>
      </c>
      <c r="I11" s="77"/>
      <c r="J11" s="3"/>
      <c r="K11" s="3"/>
    </row>
    <row r="12" s="1" customFormat="1" ht="75" customHeight="1" spans="1:11">
      <c r="A12" s="69" t="s">
        <v>211</v>
      </c>
      <c r="B12" s="69" t="s">
        <v>212</v>
      </c>
      <c r="C12" s="69" t="s">
        <v>213</v>
      </c>
      <c r="D12" s="70" t="s">
        <v>214</v>
      </c>
      <c r="E12" s="70" t="s">
        <v>202</v>
      </c>
      <c r="F12" s="69" t="s">
        <v>46</v>
      </c>
      <c r="G12" s="69" t="s">
        <v>12</v>
      </c>
      <c r="H12" s="70" t="s">
        <v>68</v>
      </c>
      <c r="I12" s="77"/>
      <c r="J12" s="3"/>
      <c r="K12" s="3"/>
    </row>
    <row r="13" s="1" customFormat="1" ht="75" customHeight="1" spans="1:11">
      <c r="A13" s="71" t="s">
        <v>215</v>
      </c>
      <c r="B13" s="72" t="s">
        <v>216</v>
      </c>
      <c r="C13" s="72" t="s">
        <v>217</v>
      </c>
      <c r="D13" s="72" t="s">
        <v>218</v>
      </c>
      <c r="E13" s="72" t="s">
        <v>202</v>
      </c>
      <c r="F13" s="72" t="s">
        <v>46</v>
      </c>
      <c r="G13" s="72" t="s">
        <v>12</v>
      </c>
      <c r="H13" s="72" t="s">
        <v>68</v>
      </c>
      <c r="I13" s="83"/>
      <c r="J13" s="3"/>
      <c r="K13" s="3"/>
    </row>
    <row r="14" s="1" customFormat="1" ht="75" customHeight="1" spans="1:11">
      <c r="A14" s="69" t="s">
        <v>219</v>
      </c>
      <c r="B14" s="69" t="s">
        <v>220</v>
      </c>
      <c r="C14" s="69" t="s">
        <v>221</v>
      </c>
      <c r="D14" s="69" t="s">
        <v>222</v>
      </c>
      <c r="E14" s="69" t="s">
        <v>202</v>
      </c>
      <c r="F14" s="69" t="s">
        <v>46</v>
      </c>
      <c r="G14" s="69" t="s">
        <v>12</v>
      </c>
      <c r="H14" s="70" t="s">
        <v>68</v>
      </c>
      <c r="I14" s="77"/>
      <c r="J14" s="3"/>
      <c r="K14" s="3"/>
    </row>
    <row r="15" s="1" customFormat="1" ht="75" customHeight="1" spans="1:11">
      <c r="A15" s="69" t="s">
        <v>223</v>
      </c>
      <c r="B15" s="69" t="s">
        <v>224</v>
      </c>
      <c r="C15" s="69" t="s">
        <v>225</v>
      </c>
      <c r="D15" s="69" t="s">
        <v>226</v>
      </c>
      <c r="E15" s="69" t="s">
        <v>202</v>
      </c>
      <c r="F15" s="69" t="s">
        <v>46</v>
      </c>
      <c r="G15" s="69" t="s">
        <v>12</v>
      </c>
      <c r="H15" s="69" t="s">
        <v>68</v>
      </c>
      <c r="I15" s="41"/>
      <c r="J15" s="3"/>
      <c r="K15" s="3"/>
    </row>
    <row r="16" s="1" customFormat="1" ht="75" customHeight="1" spans="1:11">
      <c r="A16" s="73" t="s">
        <v>227</v>
      </c>
      <c r="B16" s="74" t="s">
        <v>228</v>
      </c>
      <c r="C16" s="74" t="s">
        <v>229</v>
      </c>
      <c r="D16" s="74" t="s">
        <v>230</v>
      </c>
      <c r="E16" s="74" t="s">
        <v>202</v>
      </c>
      <c r="F16" s="75" t="s">
        <v>46</v>
      </c>
      <c r="G16" s="74" t="s">
        <v>12</v>
      </c>
      <c r="H16" s="74" t="s">
        <v>68</v>
      </c>
      <c r="I16" s="83"/>
      <c r="J16" s="78"/>
      <c r="K16" s="78"/>
    </row>
    <row r="17" s="1" customFormat="1" ht="75" customHeight="1" spans="1:11">
      <c r="A17" s="73" t="s">
        <v>231</v>
      </c>
      <c r="B17" s="74" t="s">
        <v>232</v>
      </c>
      <c r="C17" s="74" t="s">
        <v>233</v>
      </c>
      <c r="D17" s="74" t="s">
        <v>234</v>
      </c>
      <c r="E17" s="74" t="s">
        <v>202</v>
      </c>
      <c r="F17" s="76" t="s">
        <v>46</v>
      </c>
      <c r="G17" s="74" t="s">
        <v>12</v>
      </c>
      <c r="H17" s="74" t="s">
        <v>68</v>
      </c>
      <c r="I17" s="77"/>
      <c r="J17" s="3"/>
      <c r="K17" s="3"/>
    </row>
    <row r="18" s="1" customFormat="1" ht="75" customHeight="1" spans="1:11">
      <c r="A18" s="73" t="s">
        <v>235</v>
      </c>
      <c r="B18" s="74" t="s">
        <v>236</v>
      </c>
      <c r="C18" s="74" t="s">
        <v>237</v>
      </c>
      <c r="D18" s="74" t="s">
        <v>238</v>
      </c>
      <c r="E18" s="74" t="s">
        <v>239</v>
      </c>
      <c r="F18" s="74" t="s">
        <v>46</v>
      </c>
      <c r="G18" s="74" t="s">
        <v>12</v>
      </c>
      <c r="H18" s="74" t="s">
        <v>68</v>
      </c>
      <c r="I18" s="3"/>
      <c r="J18" s="3"/>
      <c r="K18" s="3"/>
    </row>
    <row r="19" s="1" customFormat="1" ht="75" customHeight="1" spans="1:11">
      <c r="A19" s="73" t="s">
        <v>240</v>
      </c>
      <c r="B19" s="74" t="s">
        <v>241</v>
      </c>
      <c r="C19" s="74" t="s">
        <v>242</v>
      </c>
      <c r="D19" s="74" t="s">
        <v>243</v>
      </c>
      <c r="E19" s="74" t="s">
        <v>235</v>
      </c>
      <c r="F19" s="74" t="s">
        <v>46</v>
      </c>
      <c r="G19" s="74" t="s">
        <v>12</v>
      </c>
      <c r="H19" s="74" t="s">
        <v>68</v>
      </c>
      <c r="I19" s="3"/>
      <c r="J19" s="3"/>
      <c r="K19" s="3"/>
    </row>
    <row r="20" s="1" customFormat="1" ht="75" customHeight="1" spans="1:11">
      <c r="A20" s="73" t="s">
        <v>244</v>
      </c>
      <c r="B20" s="74" t="s">
        <v>245</v>
      </c>
      <c r="C20" s="74" t="s">
        <v>246</v>
      </c>
      <c r="D20" s="74" t="s">
        <v>247</v>
      </c>
      <c r="E20" s="74" t="s">
        <v>235</v>
      </c>
      <c r="F20" s="74" t="s">
        <v>46</v>
      </c>
      <c r="G20" s="74" t="s">
        <v>12</v>
      </c>
      <c r="H20" s="74" t="s">
        <v>68</v>
      </c>
      <c r="I20" s="3"/>
      <c r="J20" s="3"/>
      <c r="K20" s="3"/>
    </row>
    <row r="21" s="1" customFormat="1" ht="75" customHeight="1" spans="1:11">
      <c r="A21" s="73" t="s">
        <v>248</v>
      </c>
      <c r="B21" s="74" t="s">
        <v>249</v>
      </c>
      <c r="C21" s="74" t="s">
        <v>250</v>
      </c>
      <c r="D21" s="74" t="s">
        <v>251</v>
      </c>
      <c r="E21" s="74" t="s">
        <v>240</v>
      </c>
      <c r="F21" s="74" t="s">
        <v>49</v>
      </c>
      <c r="G21" s="74" t="s">
        <v>12</v>
      </c>
      <c r="H21" s="74" t="s">
        <v>252</v>
      </c>
      <c r="I21" s="3"/>
      <c r="J21" s="3"/>
      <c r="K21" s="3"/>
    </row>
    <row r="22" s="1" customFormat="1" ht="75" customHeight="1" spans="1:11">
      <c r="A22" s="73" t="s">
        <v>253</v>
      </c>
      <c r="B22" s="74" t="s">
        <v>254</v>
      </c>
      <c r="C22" s="74" t="s">
        <v>255</v>
      </c>
      <c r="D22" s="74" t="s">
        <v>256</v>
      </c>
      <c r="E22" s="74" t="s">
        <v>257</v>
      </c>
      <c r="F22" s="74" t="s">
        <v>46</v>
      </c>
      <c r="G22" s="74" t="s">
        <v>12</v>
      </c>
      <c r="H22" s="74" t="s">
        <v>68</v>
      </c>
      <c r="I22" s="3"/>
      <c r="J22" s="3"/>
      <c r="K22" s="3"/>
    </row>
    <row r="23" s="1" customFormat="1" ht="75" customHeight="1" spans="1:11">
      <c r="A23" s="73" t="s">
        <v>258</v>
      </c>
      <c r="B23" s="74" t="s">
        <v>259</v>
      </c>
      <c r="C23" s="74" t="s">
        <v>260</v>
      </c>
      <c r="D23" s="74" t="s">
        <v>261</v>
      </c>
      <c r="E23" s="74" t="s">
        <v>262</v>
      </c>
      <c r="F23" s="74" t="s">
        <v>46</v>
      </c>
      <c r="G23" s="74" t="s">
        <v>12</v>
      </c>
      <c r="H23" s="74" t="s">
        <v>68</v>
      </c>
      <c r="I23" s="3"/>
      <c r="J23" s="3"/>
      <c r="K23" s="3"/>
    </row>
    <row r="24" s="1" customFormat="1" ht="75" customHeight="1" spans="1:11">
      <c r="A24" s="73" t="s">
        <v>263</v>
      </c>
      <c r="B24" s="74" t="s">
        <v>264</v>
      </c>
      <c r="C24" s="74" t="s">
        <v>265</v>
      </c>
      <c r="D24" s="74" t="s">
        <v>266</v>
      </c>
      <c r="E24" s="74" t="s">
        <v>202</v>
      </c>
      <c r="F24" s="74" t="s">
        <v>46</v>
      </c>
      <c r="G24" s="74" t="s">
        <v>12</v>
      </c>
      <c r="H24" s="74" t="s">
        <v>68</v>
      </c>
      <c r="I24" s="3"/>
      <c r="J24" s="3"/>
      <c r="K24" s="3"/>
    </row>
    <row r="25" s="1" customFormat="1" ht="75" customHeight="1" spans="1:11">
      <c r="A25" s="73" t="s">
        <v>267</v>
      </c>
      <c r="B25" s="74" t="s">
        <v>268</v>
      </c>
      <c r="C25" s="74" t="s">
        <v>269</v>
      </c>
      <c r="D25" s="74" t="s">
        <v>270</v>
      </c>
      <c r="E25" s="74" t="s">
        <v>202</v>
      </c>
      <c r="F25" s="74" t="s">
        <v>46</v>
      </c>
      <c r="G25" s="74" t="s">
        <v>12</v>
      </c>
      <c r="H25" s="74" t="s">
        <v>68</v>
      </c>
      <c r="I25" s="3"/>
      <c r="J25" s="3"/>
      <c r="K25" s="3"/>
    </row>
    <row r="26" s="1" customFormat="1" ht="75" customHeight="1" spans="1:11">
      <c r="A26" s="73" t="s">
        <v>271</v>
      </c>
      <c r="B26" s="74" t="s">
        <v>272</v>
      </c>
      <c r="C26" s="74" t="s">
        <v>273</v>
      </c>
      <c r="D26" s="74" t="s">
        <v>274</v>
      </c>
      <c r="E26" s="74" t="s">
        <v>202</v>
      </c>
      <c r="F26" s="74" t="s">
        <v>46</v>
      </c>
      <c r="G26" s="74" t="s">
        <v>12</v>
      </c>
      <c r="H26" s="74" t="s">
        <v>68</v>
      </c>
      <c r="I26" s="3"/>
      <c r="J26" s="3"/>
      <c r="K26" s="3"/>
    </row>
  </sheetData>
  <mergeCells count="5">
    <mergeCell ref="B2:F2"/>
    <mergeCell ref="B3:F3"/>
    <mergeCell ref="B4:F4"/>
    <mergeCell ref="E5:F5"/>
    <mergeCell ref="E6:F6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zoomScale="85" zoomScaleNormal="85" workbookViewId="0">
      <selection activeCell="F27" sqref="F27"/>
    </sheetView>
  </sheetViews>
  <sheetFormatPr defaultColWidth="8.99074074074074" defaultRowHeight="13.2" outlineLevelCol="7"/>
  <cols>
    <col min="1" max="1" width="10" style="2" customWidth="1"/>
    <col min="2" max="2" width="15" style="2" customWidth="1"/>
    <col min="3" max="3" width="45" style="2" customWidth="1"/>
    <col min="4" max="4" width="14" style="2" customWidth="1"/>
    <col min="5" max="5" width="26" style="1" customWidth="1"/>
    <col min="6" max="7" width="14" style="1" customWidth="1"/>
    <col min="8" max="9" width="41" style="2" customWidth="1"/>
    <col min="10" max="257" width="8.99074074074074" style="2" customWidth="1"/>
  </cols>
  <sheetData>
    <row r="1" s="1" customFormat="1" ht="25.5" customHeight="1" spans="1:8">
      <c r="A1" s="3"/>
      <c r="B1" s="4" t="s">
        <v>275</v>
      </c>
      <c r="C1" s="3"/>
      <c r="D1" s="3"/>
      <c r="E1" s="3"/>
      <c r="F1" s="3"/>
      <c r="G1" s="3"/>
      <c r="H1" s="3"/>
    </row>
    <row r="2" s="1" customFormat="1" ht="14.25" customHeight="1" spans="1:8">
      <c r="A2" s="5"/>
      <c r="B2" s="5"/>
      <c r="C2" s="2"/>
      <c r="D2" s="2"/>
      <c r="E2" s="2"/>
      <c r="F2" s="2"/>
      <c r="G2" s="2"/>
      <c r="H2" s="6"/>
    </row>
    <row r="3" s="1" customFormat="1" ht="12" customHeight="1" spans="1:8">
      <c r="A3" s="3"/>
      <c r="B3" s="7" t="s">
        <v>1</v>
      </c>
      <c r="C3" s="8" t="s">
        <v>2</v>
      </c>
      <c r="D3" s="9"/>
      <c r="E3" s="10" t="s">
        <v>4</v>
      </c>
      <c r="F3" s="9"/>
      <c r="G3" s="11"/>
      <c r="H3" s="12"/>
    </row>
    <row r="4" s="1" customFormat="1" ht="12" customHeight="1" spans="1:8">
      <c r="A4" s="3"/>
      <c r="B4" s="7" t="s">
        <v>5</v>
      </c>
      <c r="C4" s="13" t="s">
        <v>6</v>
      </c>
      <c r="D4" s="9"/>
      <c r="E4" s="10" t="s">
        <v>8</v>
      </c>
      <c r="F4" s="9"/>
      <c r="G4" s="11"/>
      <c r="H4" s="12"/>
    </row>
    <row r="5" s="1" customFormat="1" ht="12" customHeight="1" spans="1:8">
      <c r="A5" s="3"/>
      <c r="B5" s="14" t="s">
        <v>9</v>
      </c>
      <c r="C5" s="13" t="s">
        <v>276</v>
      </c>
      <c r="D5" s="9"/>
      <c r="E5" s="10" t="s">
        <v>12</v>
      </c>
      <c r="F5" s="9"/>
      <c r="G5" s="11"/>
      <c r="H5" s="15" t="s">
        <v>277</v>
      </c>
    </row>
    <row r="6" s="1" customFormat="1" ht="30" customHeight="1" spans="1:8">
      <c r="A6" s="5"/>
      <c r="B6" s="14" t="s">
        <v>278</v>
      </c>
      <c r="C6" s="16" t="s">
        <v>279</v>
      </c>
      <c r="D6" s="17"/>
      <c r="E6" s="17"/>
      <c r="F6" s="17"/>
      <c r="G6" s="17"/>
      <c r="H6" s="9"/>
    </row>
    <row r="7" s="1" customFormat="1" ht="14.25" customHeight="1" spans="1:8">
      <c r="A7" s="5"/>
      <c r="B7" s="18"/>
      <c r="C7" s="19"/>
      <c r="D7" s="2"/>
      <c r="E7" s="2"/>
      <c r="F7" s="2"/>
      <c r="G7" s="2"/>
      <c r="H7" s="6"/>
    </row>
    <row r="8" s="1" customFormat="1" customHeight="1" spans="1:8">
      <c r="A8" s="3"/>
      <c r="B8" s="18"/>
      <c r="C8" s="19"/>
      <c r="D8" s="2"/>
      <c r="E8" s="2"/>
      <c r="F8" s="2"/>
      <c r="G8" s="2"/>
      <c r="H8" s="6"/>
    </row>
    <row r="9" s="1" customFormat="1" customHeight="1" spans="1:8">
      <c r="A9" s="2"/>
      <c r="B9" s="2"/>
      <c r="C9" s="2"/>
      <c r="D9" s="2"/>
      <c r="E9" s="2"/>
      <c r="F9" s="2"/>
      <c r="G9" s="2"/>
      <c r="H9" s="2"/>
    </row>
    <row r="10" s="1" customFormat="1" customHeight="1" spans="1:8">
      <c r="A10" s="20"/>
      <c r="B10" s="21" t="s">
        <v>28</v>
      </c>
      <c r="C10" s="22" t="s">
        <v>280</v>
      </c>
      <c r="D10" s="23" t="s">
        <v>46</v>
      </c>
      <c r="E10" s="22" t="s">
        <v>49</v>
      </c>
      <c r="F10" s="22" t="s">
        <v>52</v>
      </c>
      <c r="G10" s="24" t="s">
        <v>53</v>
      </c>
      <c r="H10" s="25" t="s">
        <v>281</v>
      </c>
    </row>
    <row r="11" s="1" customFormat="1" customHeight="1" spans="1:8">
      <c r="A11" s="20"/>
      <c r="B11" s="26">
        <v>1</v>
      </c>
      <c r="C11" s="27" t="str">
        <f>Module1!B2</f>
        <v>ST-CUS</v>
      </c>
      <c r="D11" s="28">
        <f>Module1!A6</f>
        <v>17</v>
      </c>
      <c r="E11" s="28">
        <f>Module1!B6</f>
        <v>5</v>
      </c>
      <c r="F11" s="28">
        <f>Module1!C6</f>
        <v>0</v>
      </c>
      <c r="G11" s="29">
        <f>Module1!D6</f>
        <v>0</v>
      </c>
      <c r="H11" s="30">
        <f>Module1!E6</f>
        <v>22</v>
      </c>
    </row>
    <row r="12" s="1" customFormat="1" customHeight="1" spans="1:8">
      <c r="A12" s="20"/>
      <c r="B12" s="26">
        <v>2</v>
      </c>
      <c r="C12" s="27" t="str">
        <f>Module2!B2</f>
        <v>ST-ADM</v>
      </c>
      <c r="D12" s="28">
        <f>Module2!A6</f>
        <v>16</v>
      </c>
      <c r="E12" s="28">
        <f>Module2!B6</f>
        <v>1</v>
      </c>
      <c r="F12" s="28">
        <f>Module2!C6</f>
        <v>0</v>
      </c>
      <c r="G12" s="29">
        <f>Module2!D6</f>
        <v>0</v>
      </c>
      <c r="H12" s="30">
        <f>Module2!E6</f>
        <v>17</v>
      </c>
    </row>
    <row r="13" s="1" customFormat="1" customHeight="1" spans="1:8">
      <c r="A13" s="20"/>
      <c r="B13" s="26"/>
      <c r="C13" s="27"/>
      <c r="D13" s="28"/>
      <c r="E13" s="28"/>
      <c r="F13" s="28"/>
      <c r="G13" s="29"/>
      <c r="H13" s="30"/>
    </row>
    <row r="14" s="1" customFormat="1" customHeight="1" spans="1:8">
      <c r="A14" s="20"/>
      <c r="B14" s="31"/>
      <c r="C14" s="32" t="s">
        <v>282</v>
      </c>
      <c r="D14" s="33">
        <f>SUM(D9:D13)</f>
        <v>33</v>
      </c>
      <c r="E14" s="33">
        <f>SUM(E9:E13)</f>
        <v>6</v>
      </c>
      <c r="F14" s="33">
        <f>SUM(F9:F13)</f>
        <v>0</v>
      </c>
      <c r="G14" s="33">
        <f>SUM(G9:G13)</f>
        <v>0</v>
      </c>
      <c r="H14" s="34">
        <f>SUM(H9:H13)</f>
        <v>39</v>
      </c>
    </row>
    <row r="15" s="1" customFormat="1" customHeight="1" spans="1:8">
      <c r="A15" s="2"/>
      <c r="B15" s="35"/>
      <c r="C15" s="2"/>
      <c r="D15" s="36"/>
      <c r="E15" s="37"/>
      <c r="F15" s="37"/>
      <c r="G15" s="37"/>
      <c r="H15" s="37"/>
    </row>
    <row r="16" s="1" customFormat="1" customHeight="1" spans="1:8">
      <c r="A16" s="2"/>
      <c r="B16" s="2"/>
      <c r="C16" s="38" t="s">
        <v>283</v>
      </c>
      <c r="D16" s="2"/>
      <c r="E16" s="39">
        <f>(D14+E14)*100/(H14-G14)</f>
        <v>100</v>
      </c>
      <c r="F16" s="2" t="s">
        <v>284</v>
      </c>
      <c r="G16" s="2"/>
      <c r="H16" s="40"/>
    </row>
    <row r="17" s="1" customFormat="1" customHeight="1" spans="1:8">
      <c r="A17" s="2"/>
      <c r="B17" s="2"/>
      <c r="C17" s="38" t="s">
        <v>285</v>
      </c>
      <c r="D17" s="2"/>
      <c r="E17" s="39">
        <f>D14*100/(H14-G14)</f>
        <v>84.6153846153846</v>
      </c>
      <c r="F17" s="2" t="s">
        <v>284</v>
      </c>
      <c r="G17" s="2"/>
      <c r="H17" s="40"/>
    </row>
    <row r="18" s="1" customFormat="1" customHeight="1" spans="1:8">
      <c r="A18" s="3"/>
      <c r="B18" s="3"/>
      <c r="C18" s="2"/>
      <c r="D18" s="2"/>
      <c r="E18" s="3"/>
      <c r="F18" s="3"/>
      <c r="G18" s="3"/>
      <c r="H18" s="3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Module1</vt:lpstr>
      <vt:lpstr>Module2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23_ Trần Phan Hoài Nam</cp:lastModifiedBy>
  <dcterms:created xsi:type="dcterms:W3CDTF">2025-12-18T13:20:00Z</dcterms:created>
  <dcterms:modified xsi:type="dcterms:W3CDTF">2025-12-18T13:24:08Z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10BF659B0F3E46FF853F04F3B263EA3E_12</vt:lpwstr>
  </property>
  <property fmtid="{D5CDD505-2E9C-101B-9397-08002B2CF9AE}" pid="3" name="KSOProductBuildVer">
    <vt:lpwstr>1033-12.2.0.23155</vt:lpwstr>
  </property>
</Properties>
</file>