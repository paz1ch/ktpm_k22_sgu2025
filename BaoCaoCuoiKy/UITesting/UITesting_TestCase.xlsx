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4"/>
  </bookViews>
  <sheets>
    <sheet name="Cover" sheetId="1" r:id="rId1"/>
    <sheet name="Test case List" sheetId="2" r:id="rId2"/>
    <sheet name="Module1" sheetId="3" r:id="rId3"/>
    <sheet name="Module2" sheetId="4" r:id="rId4"/>
    <sheet name="Test Report" sheetId="5" r:id="rId5"/>
  </sheets>
  <definedNames>
    <definedName name="ACTION">#REF!</definedName>
    <definedName name="_xlnm._FilterDatabase" localSheetId="1" hidden="1">'Test case List'!$A$8:$F$21</definedName>
    <definedName name="Excel_BuiltIn__FilterDatabase" localSheetId="2">Module1!$A$8:$H$16</definedName>
    <definedName name="_xlnm._FilterDatabase" localSheetId="2" hidden="1">Module1!$A$8:$J$20</definedName>
    <definedName name="Excel_BuiltIn__FilterDatabase" localSheetId="3">Module2!$A$8:$H$15</definedName>
    <definedName name="_xlnm._FilterDatabase" localSheetId="3" hidden="1">Module2!$A$8:$K$17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E11" authorId="0">
      <text>
        <r>
          <rPr>
            <sz val="10"/>
            <rFont val="SimSun"/>
            <charset val="134"/>
          </rPr>
          <t>*A: Add
  M: Modify
  D: Delete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F8" authorId="0">
      <text>
        <r>
          <rPr>
            <sz val="10"/>
            <rFont val="SimSun"/>
            <charset val="134"/>
          </rPr>
          <t>Pass
Fail
Untested
N/A</t>
        </r>
      </text>
    </comment>
  </commentList>
</comments>
</file>

<file path=xl/sharedStrings.xml><?xml version="1.0" encoding="utf-8"?>
<sst xmlns="http://schemas.openxmlformats.org/spreadsheetml/2006/main" count="280" uniqueCount="183">
  <si>
    <t>TEST CASE</t>
  </si>
  <si>
    <t>Project Name</t>
  </si>
  <si>
    <t>Website bán quần áo tích hợp chatbot</t>
  </si>
  <si>
    <t>Creator</t>
  </si>
  <si>
    <t>Sinh viên kiểm thử</t>
  </si>
  <si>
    <t>Project Code</t>
  </si>
  <si>
    <t>WCB</t>
  </si>
  <si>
    <t>Reviewer/Approver</t>
  </si>
  <si>
    <t>GV hướng dẫn</t>
  </si>
  <si>
    <t>Document Code</t>
  </si>
  <si>
    <t>WCB_UI_TC_v1.0</t>
  </si>
  <si>
    <t>Issue Date</t>
  </si>
  <si>
    <t>18-12-2025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</si>
  <si>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</si>
  <si>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</si>
  <si>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</si>
  <si>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</si>
  <si>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</si>
  <si>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</si>
  <si>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</si>
  <si>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</si>
  <si>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A</t>
  </si>
  <si>
    <t>Tạo mới tài liệu test case</t>
  </si>
  <si>
    <t>Tài liệu yêu cầu/Use Case</t>
  </si>
  <si>
    <t>&lt;List of documents which are referred in this version.&gt;</t>
  </si>
  <si>
    <t>TEST CASE LIST</t>
  </si>
  <si>
    <t>Test Environment Setup Description</t>
  </si>
  <si>
    <t xml:space="preserve">Môi trường kiểm thử giao diện (giả định):
1. Desktop: Chrome/Edge (1366x768, 1920x1080)
2. Mobile: Chrome Android (375x667, 414x896)
3. Network: bình thường (WiFi)
4. OS: Windows 10/11
</t>
  </si>
  <si>
    <t>No</t>
  </si>
  <si>
    <t>Function Name</t>
  </si>
  <si>
    <t>Sheet Name</t>
  </si>
  <si>
    <t>Description</t>
  </si>
  <si>
    <t>Pre-Condition</t>
  </si>
  <si>
    <t>UI Khách hàng (Front-end)</t>
  </si>
  <si>
    <t>Module1</t>
  </si>
  <si>
    <t>Trang chủ, danh mục, chi tiết SP, giỏ hàng, liên hệ, chatbot, trang kết quả thanh toán</t>
  </si>
  <si>
    <t>Có dữ liệu sản phẩm</t>
  </si>
  <si>
    <t>UI Quản trị (Admin)</t>
  </si>
  <si>
    <t>Module2</t>
  </si>
  <si>
    <t>Trang đăng nhập admin, dashboard, CRUD sản phẩm/danh mục/thành viên/đơn hàng, báo cáo, logout</t>
  </si>
  <si>
    <t>Có tài khoản admin</t>
  </si>
  <si>
    <t>Module1!B17</t>
  </si>
  <si>
    <t>Module2!B10</t>
  </si>
  <si>
    <t>Module2!B14</t>
  </si>
  <si>
    <t>Module Code</t>
  </si>
  <si>
    <t>UI-CUS</t>
  </si>
  <si>
    <t>Pass</t>
  </si>
  <si>
    <t>Test requirement</t>
  </si>
  <si>
    <t>UI Testing - Giao diện phía khách hàng</t>
  </si>
  <si>
    <t>Fail</t>
  </si>
  <si>
    <t>Tester</t>
  </si>
  <si>
    <t>Tester: Sinh viên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</si>
  <si>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</si>
  <si>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</si>
  <si>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</si>
  <si>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</si>
  <si>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</si>
  <si>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</si>
  <si>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</si>
  <si>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</si>
  <si>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</si>
  <si>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</si>
  <si>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UI-01</t>
  </si>
  <si>
    <t>Trang chủ (Desktop) - bố cục tổng thể</t>
  </si>
  <si>
    <t>1. Mở trang chủ trên Desktop (&gt;=1366px)
2. Kiểm tra header/banner/danh mục/danh sách SP/footer</t>
  </si>
  <si>
    <t>Bố cục cân đối, không vỡ layout, font dễ đọc, hình ảnh hiển thị rõ.</t>
  </si>
  <si>
    <t>Chrome/Edge Desktop</t>
  </si>
  <si>
    <t>Hiển thị ổn định</t>
  </si>
  <si>
    <t>OK</t>
  </si>
  <si>
    <t>UI-02</t>
  </si>
  <si>
    <t>Trang chủ (Mobile) - menu responsive</t>
  </si>
  <si>
    <t>1. Mở trang chủ trên màn hình mobile (~375px)
2. Kiểm tra menu hamburger, logo, icon giỏ hàng</t>
  </si>
  <si>
    <t>Menu responsive hoạt động, không che nội dung; các nút bấm dễ thao tác.</t>
  </si>
  <si>
    <t>Chrome Android emulation</t>
  </si>
  <si>
    <t>Menu hoạt động</t>
  </si>
  <si>
    <t>UI-03</t>
  </si>
  <si>
    <t>Header/Footer hiển thị nhất quán giữa các trang</t>
  </si>
  <si>
    <t>1. Vào Trang chủ / Danh mục / Chi tiết SP / Liên hệ
2. So sánh header/footer</t>
  </si>
  <si>
    <t>Header/footer thống nhất, không nhảy layout; link điều hướng hoạt động.</t>
  </si>
  <si>
    <t>4 trang bất kỳ</t>
  </si>
  <si>
    <t>Nhất quán</t>
  </si>
  <si>
    <t>UI-04</t>
  </si>
  <si>
    <t>Trang danh sách sản phẩm - lưới hiển thị &amp; phân trang</t>
  </si>
  <si>
    <t>1. Vào 1 danh mục có nhiều sản phẩm
2. Kiểm tra lưới card sản phẩm và phân trang</t>
  </si>
  <si>
    <t>Card hiển thị đều; phân trang rõ ràng; hover/CTA không bị lệch.</t>
  </si>
  <si>
    <t>Danh mục có ≥ 9 SP</t>
  </si>
  <si>
    <t>Hiển thị đúng</t>
  </si>
  <si>
    <t>UI-05</t>
  </si>
  <si>
    <t>Tên sản phẩm dài không làm vỡ layout card</t>
  </si>
  <si>
    <t>1. Chọn sản phẩm có tên dài
2. Quan sát card trong danh sách (desktop &amp; mobile)</t>
  </si>
  <si>
    <t>Tên tự xuống dòng/ellipsis hợp lý; card không bị tràn hoặc lệch hàng.</t>
  </si>
  <si>
    <t>SP tên &gt; 40 ký tự</t>
  </si>
  <si>
    <t>Tên tràn làm card cao thấp không đều</t>
  </si>
  <si>
    <t>UI-BUG-001: Card sản phẩm bị vỡ layout khi tên sản phẩm dài (tràn chữ/không đồng đều chiều cao)</t>
  </si>
  <si>
    <t>UI-06</t>
  </si>
  <si>
    <t>Trang chi tiết sản phẩm - ảnh, giá, nút CTA</t>
  </si>
  <si>
    <t>1. Mở trang chi tiết sản phẩm
2. Kiểm tra ảnh gallery, giá, chọn size/màu (nếu có), nút Thêm giỏ</t>
  </si>
  <si>
    <t>Các thành phần hiển thị rõ; nút CTA nổi bật; không che khuất bởi chatbot.</t>
  </si>
  <si>
    <t>1 sản phẩm bất kỳ</t>
  </si>
  <si>
    <t>UI-07</t>
  </si>
  <si>
    <t>Trang giỏ hàng (Mobile) - không bị tràn/cần cuộn ngang</t>
  </si>
  <si>
    <t>1. Mở giỏ hàng trên mobile
2. Kiểm tra bảng sản phẩm, số lượng, nút xóa/cập nhật</t>
  </si>
  <si>
    <t>Không tràn; thao tác tăng/giảm/xóa dễ; không cần cuộn ngang.</t>
  </si>
  <si>
    <t>Mobile 375px; giỏ có ≥ 2 SP</t>
  </si>
  <si>
    <t>Bảng tràn, phải cuộn ngang để xem đủ</t>
  </si>
  <si>
    <t>UI-BUG-002: Trang giỏ hàng trên mobile bị tràn bảng/cuộn ngang, thao tác khó</t>
  </si>
  <si>
    <t>UI-08</t>
  </si>
  <si>
    <t>Form đăng nhập/đăng ký - hiển thị lỗi validation rõ ràng</t>
  </si>
  <si>
    <t>1. Mở form login/register
2. Submit với dữ liệu rỗng/sai
3. Quan sát thông báo</t>
  </si>
  <si>
    <t>Thông báo lỗi hiển thị gần field, dễ hiểu; không phá layout.</t>
  </si>
  <si>
    <t>Input rỗng/invalid</t>
  </si>
  <si>
    <t>Hiển thị lỗi rõ ràng</t>
  </si>
  <si>
    <t>UI-09</t>
  </si>
  <si>
    <t>Trang tìm kiếm - hiển thị trạng thái không có kết quả</t>
  </si>
  <si>
    <t>1. Tìm kiếm từ khóa không tồn tại
2. Quan sát UI</t>
  </si>
  <si>
    <t>Hiển thị thông báo 'Không tìm thấy' thân thiện; không trang trắng.</t>
  </si>
  <si>
    <t>keyword='xyznotfound'</t>
  </si>
  <si>
    <t>Có thông báo</t>
  </si>
  <si>
    <t>UI-10</t>
  </si>
  <si>
    <t>Trang liên hệ - bố cục form &amp; thông tin shop</t>
  </si>
  <si>
    <t>1. Mở trang Liên hệ
2. Kiểm tra form và thông tin liên hệ</t>
  </si>
  <si>
    <t>Form căn lề đẹp; nút gửi rõ; thông tin shop hiển thị đầy đủ.</t>
  </si>
  <si>
    <t>-</t>
  </si>
  <si>
    <t>UI-11</t>
  </si>
  <si>
    <t>Trang kết quả thanh toán - thông báo rõ ràng</t>
  </si>
  <si>
    <t>1. Thực hiện thanh toán (success/fail)
2. Quan sát trang return</t>
  </si>
  <si>
    <t>Thông báo trạng thái rõ (thành công/thất bại), có link quay lại.</t>
  </si>
  <si>
    <t>VNPAY sandbox</t>
  </si>
  <si>
    <t>Thông báo rõ</t>
  </si>
  <si>
    <t>UI-12</t>
  </si>
  <si>
    <t>Chatbot widget - không che nút quan trọng</t>
  </si>
  <si>
    <t>1. Mở chatbot ở trang chi tiết SP/giỏ hàng
2. Kiểm tra vùng che phủ</t>
  </si>
  <si>
    <t>Chatbot không che CTA quan trọng; có thể thu nhỏ/đóng.</t>
  </si>
  <si>
    <t>Desktop &amp; mobile</t>
  </si>
  <si>
    <t>Không che đáng kể</t>
  </si>
  <si>
    <t>UI-ADM</t>
  </si>
  <si>
    <t>UI Testing - Giao diện quản trị</t>
  </si>
  <si>
    <t>Inter-test case Dependence</t>
  </si>
  <si>
    <t>Test date</t>
  </si>
  <si>
    <t>Note</t>
  </si>
  <si>
    <t>UI-13</t>
  </si>
  <si>
    <t>Trang /admin - bố cục login (Desktop)</t>
  </si>
  <si>
    <t>1. Mở /admin
2. Kiểm tra layout form login</t>
  </si>
  <si>
    <t>Form login hiển thị đúng; label/input rõ; không vỡ layout.</t>
  </si>
  <si>
    <t>UI-14</t>
  </si>
  <si>
    <t>Trang /admin - hiển thị thông báo lỗi khi login sai</t>
  </si>
  <si>
    <t>1. Nhập sai user/pass
2. Submit
3. Quan sát UI lỗi</t>
  </si>
  <si>
    <t>Thông báo lỗi dễ hiểu; không làm lệch form.</t>
  </si>
  <si>
    <t>UI-15</t>
  </si>
  <si>
    <t>Dashboard admin - menu/Sidebar hiển thị đúng</t>
  </si>
  <si>
    <t>1. Login admin
2. Kiểm tra sidebar/menu
3. Resize cửa sổ</t>
  </si>
  <si>
    <t>Menu không bị tràn; các mục click được; responsive cơ bản.</t>
  </si>
  <si>
    <t>UI-16</t>
  </si>
  <si>
    <t>Màn quản lý sản phẩm - grid không bị tràn, popup form vừa màn hình</t>
  </si>
  <si>
    <t>1. Vào quản lý sản phẩm
2. Mở popup thêm/sửa
3. Kiểm tra scroll</t>
  </si>
  <si>
    <t>Grid/popup vừa màn; trường nhập không bị che; nút Lưu/Hủy thấy rõ.</t>
  </si>
  <si>
    <t>UI-17</t>
  </si>
  <si>
    <t>Màn quản lý đơn hàng - bảng danh sách &amp; filter hiển thị rõ</t>
  </si>
  <si>
    <t>1. Vào quản lý đơn hàng
2. Kiểm tra cột, filter, nút hành động</t>
  </si>
  <si>
    <t>Bảng rõ ràng; thao tác xem/confirm/reject dễ; không vỡ giao diện.</t>
  </si>
  <si>
    <t>UI-18</t>
  </si>
  <si>
    <t>Báo cáo doanh thu - biểu đồ/bảng không bị lệch</t>
  </si>
  <si>
    <t>1. Vào báo cáo
2. Chọn khoảng thời gian
3. Quan sát biểu đồ/bảng</t>
  </si>
  <si>
    <t>Biểu đồ/bảng hiển thị vừa khung; số liệu dễ đọc.</t>
  </si>
  <si>
    <t>UI-19</t>
  </si>
  <si>
    <t>UI quản lý thành viên - bảng danh sách &amp; form thêm/sửa</t>
  </si>
  <si>
    <t>1. Vào quản lý thành viên
2. Kiểm tra bảng danh sách
3. Mở form thêm/sửa</t>
  </si>
  <si>
    <t>Bảng rõ ràng; form không bị tràn; nút Lưu/Hủy hiển thị đúng.</t>
  </si>
  <si>
    <t>UI-20</t>
  </si>
  <si>
    <t>UI nút Đăng xuất admin - vị trí dễ thấy</t>
  </si>
  <si>
    <t>1. Đang ở dashboard
2. Tìm nút Đăng xuất
3. Kiểm tra sau logout UI chuyển về login</t>
  </si>
  <si>
    <t>Nút logout dễ tìm (header/menu); logout xong về trang login.</t>
  </si>
  <si>
    <t>TEST REPORT</t>
  </si>
  <si>
    <t>WCB_UI_TR_v1.0</t>
  </si>
  <si>
    <t>&lt;Date when this test report is created&gt;</t>
  </si>
  <si>
    <t>Notes</t>
  </si>
  <si>
    <t>Release/Scope: UI Testing (Desktop + Mobile) cho Front-end và Admin.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</si>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</sst>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\-mmm\-yy;@"/>
    <numFmt numFmtId="177" formatCode="[$-409]d\-mmm\-yy"/>
  </numFmts>
  <fonts count="42">
    <font>
      <sz val="11"/>
      <name val="ＭＳ Ｐゴシック"/>
      <charset val="134"/>
    </font>
    <font>
      <sz val="10"/>
      <name val="Tahoma"/>
      <charset val="134"/>
    </font>
    <font>
      <sz val="11"/>
      <name val="Tahoma"/>
      <charset val="134"/>
    </font>
    <font>
      <b/>
      <sz val="20"/>
      <color rgb="FF000000"/>
      <name val="Tahoma"/>
      <charset val="134"/>
    </font>
    <font>
      <b/>
      <sz val="10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sz val="10"/>
      <color rgb="FFFF0000"/>
      <name val="Tahoma"/>
      <charset val="134"/>
    </font>
    <font>
      <b/>
      <sz val="10"/>
      <color rgb="FF000000"/>
      <name val="Tahoma"/>
      <charset val="134"/>
    </font>
    <font>
      <b/>
      <sz val="10"/>
      <color rgb="FFFF0000"/>
      <name val="Tahoma"/>
      <charset val="134"/>
    </font>
    <font>
      <u/>
      <sz val="10"/>
      <color rgb="FF0000FF"/>
      <name val="Tahoma"/>
      <charset val="134"/>
    </font>
    <font>
      <b/>
      <sz val="22"/>
      <color rgb="FFFF0000"/>
      <name val="Tahoma"/>
      <charset val="134"/>
    </font>
    <font>
      <b/>
      <sz val="26"/>
      <color rgb="FFFF0000"/>
      <name val="Tahoma"/>
      <charset val="134"/>
    </font>
    <font>
      <sz val="11"/>
      <name val="Tahoma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ＭＳ Ｐゴシック"/>
      <charset val="134"/>
    </font>
    <font>
      <sz val="9"/>
      <name val="ＭＳ ゴシック"/>
      <charset val="134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17" fillId="0" borderId="0"/>
    <xf numFmtId="43" fontId="18" fillId="0" borderId="0"/>
    <xf numFmtId="44" fontId="18" fillId="0" borderId="0"/>
    <xf numFmtId="9" fontId="18" fillId="0" borderId="0"/>
    <xf numFmtId="41" fontId="18" fillId="0" borderId="0"/>
    <xf numFmtId="42" fontId="18" fillId="0" borderId="0"/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7" fillId="0" borderId="4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46" applyNumberFormat="0" applyAlignment="0" applyProtection="0">
      <alignment vertical="center"/>
    </xf>
    <xf numFmtId="0" fontId="29" fillId="8" borderId="47" applyNumberFormat="0" applyAlignment="0" applyProtection="0">
      <alignment vertical="center"/>
    </xf>
    <xf numFmtId="0" fontId="30" fillId="8" borderId="46" applyNumberFormat="0" applyAlignment="0" applyProtection="0">
      <alignment vertical="center"/>
    </xf>
    <xf numFmtId="0" fontId="31" fillId="9" borderId="48" applyNumberFormat="0" applyAlignment="0" applyProtection="0">
      <alignment vertical="center"/>
    </xf>
    <xf numFmtId="0" fontId="32" fillId="0" borderId="49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9" fillId="0" borderId="0"/>
    <xf numFmtId="0" fontId="0" fillId="0" borderId="0"/>
    <xf numFmtId="0" fontId="0" fillId="0" borderId="0"/>
    <xf numFmtId="0" fontId="40" fillId="0" borderId="0"/>
  </cellStyleXfs>
  <cellXfs count="141">
    <xf numFmtId="0" fontId="0" fillId="0" borderId="0" xfId="0" applyFont="1" applyAlignment="1"/>
    <xf numFmtId="0" fontId="0" fillId="0" borderId="0" xfId="0" applyFont="1"/>
    <xf numFmtId="0" fontId="1" fillId="2" borderId="0" xfId="0" applyFont="1" applyFill="1" applyAlignment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/>
    <xf numFmtId="176" fontId="1" fillId="2" borderId="0" xfId="0" applyNumberFormat="1" applyFont="1" applyFill="1" applyAlignme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2" fillId="0" borderId="3" xfId="0" applyFont="1" applyBorder="1" applyAlignment="1">
      <alignment horizontal="left" vertical="center"/>
    </xf>
    <xf numFmtId="0" fontId="5" fillId="2" borderId="0" xfId="0" applyFont="1" applyFill="1" applyAlignment="1"/>
    <xf numFmtId="0" fontId="6" fillId="2" borderId="0" xfId="0" applyFont="1" applyFill="1" applyAlignment="1"/>
    <xf numFmtId="0" fontId="1" fillId="2" borderId="4" xfId="0" applyFont="1" applyFill="1" applyBorder="1" applyAlignment="1"/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7" fillId="3" borderId="14" xfId="0" applyFont="1" applyFill="1" applyBorder="1" applyAlignment="1"/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9" fillId="2" borderId="0" xfId="0" applyNumberFormat="1" applyFont="1" applyFill="1" applyAlignment="1">
      <alignment horizontal="right" vertical="top" wrapText="1"/>
    </xf>
    <xf numFmtId="0" fontId="10" fillId="2" borderId="0" xfId="0" applyFont="1" applyFill="1" applyAlignment="1">
      <alignment horizontal="center" vertical="top" wrapText="1"/>
    </xf>
    <xf numFmtId="0" fontId="11" fillId="2" borderId="0" xfId="0" applyFont="1" applyFill="1" applyAlignment="1"/>
    <xf numFmtId="0" fontId="10" fillId="2" borderId="16" xfId="0" applyFont="1" applyFill="1" applyBorder="1" applyAlignment="1"/>
    <xf numFmtId="0" fontId="10" fillId="2" borderId="16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4" fillId="2" borderId="17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left" vertical="top" wrapText="1"/>
    </xf>
    <xf numFmtId="0" fontId="2" fillId="0" borderId="19" xfId="0" applyFont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top" wrapText="1"/>
    </xf>
    <xf numFmtId="0" fontId="6" fillId="2" borderId="21" xfId="0" applyFont="1" applyFill="1" applyBorder="1" applyAlignment="1">
      <alignment horizontal="left" vertical="top" wrapText="1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24" xfId="0" applyFont="1" applyFill="1" applyBorder="1" applyAlignment="1">
      <alignment horizontal="center" vertical="top" wrapText="1"/>
    </xf>
    <xf numFmtId="0" fontId="12" fillId="2" borderId="18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top" wrapText="1"/>
    </xf>
    <xf numFmtId="0" fontId="2" fillId="0" borderId="29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0" fillId="2" borderId="0" xfId="0" applyFont="1" applyFill="1" applyAlignment="1"/>
    <xf numFmtId="0" fontId="12" fillId="2" borderId="0" xfId="0" applyFont="1" applyFill="1" applyAlignment="1"/>
    <xf numFmtId="0" fontId="11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0" fillId="2" borderId="31" xfId="0" applyFont="1" applyFill="1" applyBorder="1" applyAlignment="1">
      <alignment horizontal="center" vertical="center"/>
    </xf>
    <xf numFmtId="1" fontId="1" fillId="2" borderId="0" xfId="0" applyNumberFormat="1" applyFont="1" applyFill="1" applyAlignment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Alignment="1" applyProtection="1"/>
    <xf numFmtId="0" fontId="3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1" fontId="5" fillId="2" borderId="24" xfId="0" applyNumberFormat="1" applyFont="1" applyFill="1" applyBorder="1" applyAlignment="1"/>
    <xf numFmtId="1" fontId="5" fillId="2" borderId="1" xfId="0" applyNumberFormat="1" applyFont="1" applyFill="1" applyBorder="1" applyAlignment="1">
      <alignment vertical="top" wrapText="1"/>
    </xf>
    <xf numFmtId="1" fontId="5" fillId="2" borderId="0" xfId="0" applyNumberFormat="1" applyFont="1" applyFill="1" applyAlignment="1"/>
    <xf numFmtId="1" fontId="1" fillId="2" borderId="0" xfId="0" applyNumberFormat="1" applyFont="1" applyFill="1" applyAlignment="1" applyProtection="1">
      <alignment vertical="center"/>
    </xf>
    <xf numFmtId="0" fontId="1" fillId="2" borderId="0" xfId="0" applyFont="1" applyFill="1" applyAlignment="1">
      <alignment horizontal="left" vertical="center"/>
    </xf>
    <xf numFmtId="1" fontId="7" fillId="5" borderId="32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 wrapText="1"/>
    </xf>
    <xf numFmtId="1" fontId="1" fillId="2" borderId="34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top" wrapText="1"/>
    </xf>
    <xf numFmtId="0" fontId="1" fillId="2" borderId="35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1" fontId="1" fillId="2" borderId="36" xfId="0" applyNumberFormat="1" applyFont="1" applyFill="1" applyBorder="1" applyAlignment="1">
      <alignment vertical="center"/>
    </xf>
    <xf numFmtId="49" fontId="1" fillId="2" borderId="14" xfId="0" applyNumberFormat="1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5" fillId="2" borderId="0" xfId="0" applyFont="1" applyFill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vertical="top" wrapText="1"/>
    </xf>
    <xf numFmtId="0" fontId="1" fillId="0" borderId="2" xfId="0" applyFont="1" applyBorder="1" applyAlignme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40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176" fontId="7" fillId="3" borderId="32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6" fillId="0" borderId="34" xfId="0" applyFont="1" applyBorder="1" applyAlignment="1">
      <alignment vertical="top" wrapText="1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177" fontId="1" fillId="0" borderId="10" xfId="0" applyNumberFormat="1" applyFont="1" applyBorder="1" applyAlignment="1">
      <alignment vertical="top"/>
    </xf>
    <xf numFmtId="0" fontId="6" fillId="0" borderId="35" xfId="0" applyFont="1" applyBorder="1" applyAlignment="1">
      <alignment vertical="top" wrapText="1"/>
    </xf>
    <xf numFmtId="176" fontId="1" fillId="0" borderId="34" xfId="0" applyNumberFormat="1" applyFont="1" applyBorder="1" applyAlignment="1">
      <alignment vertical="top"/>
    </xf>
    <xf numFmtId="0" fontId="1" fillId="0" borderId="35" xfId="0" applyFont="1" applyBorder="1" applyAlignment="1">
      <alignment vertical="top"/>
    </xf>
    <xf numFmtId="176" fontId="1" fillId="0" borderId="36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37" xfId="0" applyFont="1" applyBorder="1" applyAlignment="1">
      <alignment vertical="top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*unknown*" xfId="49"/>
    <cellStyle name="Normal_Functional Test Case v1.0" xfId="50"/>
    <cellStyle name="Normal_Sheet1" xfId="51"/>
    <cellStyle name="標準_結合試験(AllOvertheWorld)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showGridLines="0" workbookViewId="0">
      <selection activeCell="I6" sqref="I6"/>
    </sheetView>
  </sheetViews>
  <sheetFormatPr defaultColWidth="8.99074074074074" defaultRowHeight="13.2" outlineLevelCol="6"/>
  <cols>
    <col min="1" max="1" width="10" style="110" customWidth="1"/>
    <col min="2" max="2" width="18" style="111" customWidth="1"/>
    <col min="3" max="3" width="38" style="110" customWidth="1"/>
    <col min="4" max="4" width="13" style="110" customWidth="1"/>
    <col min="5" max="5" width="28" style="110" customWidth="1"/>
    <col min="6" max="6" width="27" style="110" customWidth="1"/>
    <col min="7" max="7" width="45" style="110" customWidth="1"/>
    <col min="8" max="257" width="8.99074074074074" style="110" customWidth="1"/>
  </cols>
  <sheetData>
    <row r="1" ht="13.8" spans="1:7">
      <c r="A1" s="3"/>
      <c r="B1" s="3"/>
      <c r="C1" s="3"/>
      <c r="D1" s="3"/>
      <c r="E1" s="3"/>
      <c r="F1" s="3"/>
      <c r="G1" s="3"/>
    </row>
    <row r="2" s="1" customFormat="1" ht="75.75" customHeight="1" spans="1:7">
      <c r="A2" s="112"/>
      <c r="B2" s="113"/>
      <c r="C2" s="114" t="s">
        <v>0</v>
      </c>
      <c r="D2" s="17"/>
      <c r="E2" s="17"/>
      <c r="F2" s="17"/>
      <c r="G2" s="9"/>
    </row>
    <row r="3" s="1" customFormat="1" customHeight="1" spans="1:7">
      <c r="A3" s="3"/>
      <c r="B3" s="38"/>
      <c r="C3" s="115"/>
      <c r="D3" s="3"/>
      <c r="E3" s="3"/>
      <c r="F3" s="2"/>
      <c r="G3" s="3"/>
    </row>
    <row r="4" s="1" customFormat="1" ht="14.25" customHeight="1" spans="1:7">
      <c r="A4" s="3"/>
      <c r="B4" s="10" t="s">
        <v>1</v>
      </c>
      <c r="C4" s="116" t="s">
        <v>2</v>
      </c>
      <c r="D4" s="17"/>
      <c r="E4" s="9"/>
      <c r="F4" s="10" t="s">
        <v>3</v>
      </c>
      <c r="G4" s="117" t="s">
        <v>4</v>
      </c>
    </row>
    <row r="5" s="1" customFormat="1" ht="14.25" customHeight="1" spans="1:7">
      <c r="A5" s="3"/>
      <c r="B5" s="10" t="s">
        <v>5</v>
      </c>
      <c r="C5" s="118" t="s">
        <v>6</v>
      </c>
      <c r="D5" s="17"/>
      <c r="E5" s="9"/>
      <c r="F5" s="10" t="s">
        <v>7</v>
      </c>
      <c r="G5" s="117" t="s">
        <v>8</v>
      </c>
    </row>
    <row r="6" s="1" customFormat="1" ht="15.75" customHeight="1" spans="1:7">
      <c r="A6" s="3"/>
      <c r="B6" s="7" t="s">
        <v>9</v>
      </c>
      <c r="C6" s="119" t="s">
        <v>10</v>
      </c>
      <c r="D6" s="120"/>
      <c r="E6" s="121"/>
      <c r="F6" s="10" t="s">
        <v>11</v>
      </c>
      <c r="G6" s="122" t="s">
        <v>12</v>
      </c>
    </row>
    <row r="7" s="1" customFormat="1" ht="13.5" customHeight="1" spans="1:7">
      <c r="A7" s="3"/>
      <c r="B7" s="123"/>
      <c r="C7" s="124"/>
      <c r="D7" s="52"/>
      <c r="E7" s="125"/>
      <c r="F7" s="10" t="s">
        <v>13</v>
      </c>
      <c r="G7" s="122" t="s">
        <v>14</v>
      </c>
    </row>
    <row r="8" s="1" customFormat="1" customHeight="1" spans="1:7">
      <c r="A8" s="3"/>
      <c r="B8" s="18"/>
      <c r="C8" s="115"/>
      <c r="D8" s="110"/>
      <c r="E8" s="110"/>
      <c r="F8" s="38"/>
      <c r="G8" s="115"/>
    </row>
    <row r="9" s="1" customFormat="1" customHeight="1" spans="1:7">
      <c r="A9" s="3"/>
      <c r="B9" s="111"/>
      <c r="C9" s="110"/>
      <c r="D9" s="110"/>
      <c r="E9" s="110"/>
      <c r="F9" s="110"/>
      <c r="G9" s="3"/>
    </row>
    <row r="10" s="1" customFormat="1" customHeight="1" spans="1:7">
      <c r="A10" s="3"/>
      <c r="B10" s="126" t="s">
        <v>15</v>
      </c>
      <c r="C10" s="3"/>
      <c r="D10" s="3"/>
      <c r="E10" s="3"/>
      <c r="F10" s="3"/>
      <c r="G10" s="3"/>
    </row>
    <row r="11" s="1" customFormat="1" customHeight="1" spans="1:7">
      <c r="A11" s="3"/>
      <c r="B11" s="127" t="s">
        <v>16</v>
      </c>
      <c r="C11" s="128" t="s">
        <v>13</v>
      </c>
      <c r="D11" s="128" t="s">
        <v>17</v>
      </c>
      <c r="E11" s="128" t="s">
        <v>18</v>
      </c>
      <c r="F11" s="128" t="s">
        <v>19</v>
      </c>
      <c r="G11" s="129" t="s">
        <v>20</v>
      </c>
    </row>
    <row r="12" s="1" customFormat="1" ht="39.6" customHeight="1" spans="1:7">
      <c r="A12" s="3"/>
      <c r="B12" s="130" t="s">
        <v>12</v>
      </c>
      <c r="C12" s="131" t="s">
        <v>14</v>
      </c>
      <c r="D12" s="132" t="s">
        <v>21</v>
      </c>
      <c r="E12" s="132" t="s">
        <v>22</v>
      </c>
      <c r="F12" s="133" t="s">
        <v>23</v>
      </c>
      <c r="G12" s="134" t="s">
        <v>24</v>
      </c>
    </row>
    <row r="13" s="1" customFormat="1" ht="21.75" customHeight="1" spans="1:7">
      <c r="A13" s="3"/>
      <c r="B13" s="135"/>
      <c r="C13" s="131"/>
      <c r="D13" s="132"/>
      <c r="E13" s="132"/>
      <c r="F13" s="132"/>
      <c r="G13" s="136"/>
    </row>
    <row r="14" s="1" customFormat="1" ht="19.5" customHeight="1" spans="1:7">
      <c r="A14" s="3"/>
      <c r="B14" s="135"/>
      <c r="C14" s="131"/>
      <c r="D14" s="132"/>
      <c r="E14" s="132"/>
      <c r="F14" s="132"/>
      <c r="G14" s="136"/>
    </row>
    <row r="15" s="1" customFormat="1" ht="21.75" customHeight="1" spans="1:7">
      <c r="A15" s="3"/>
      <c r="B15" s="135"/>
      <c r="C15" s="131"/>
      <c r="D15" s="132"/>
      <c r="E15" s="132"/>
      <c r="F15" s="132"/>
      <c r="G15" s="136"/>
    </row>
    <row r="16" s="1" customFormat="1" ht="19.5" customHeight="1" spans="1:7">
      <c r="A16" s="3"/>
      <c r="B16" s="135"/>
      <c r="C16" s="131"/>
      <c r="D16" s="132"/>
      <c r="E16" s="132"/>
      <c r="F16" s="132"/>
      <c r="G16" s="136"/>
    </row>
    <row r="17" s="1" customFormat="1" ht="21.75" customHeight="1" spans="1:7">
      <c r="A17" s="3"/>
      <c r="B17" s="135"/>
      <c r="C17" s="131"/>
      <c r="D17" s="132"/>
      <c r="E17" s="132"/>
      <c r="F17" s="132"/>
      <c r="G17" s="136"/>
    </row>
    <row r="18" s="1" customFormat="1" ht="19.5" customHeight="1" spans="1:7">
      <c r="A18" s="3"/>
      <c r="B18" s="137"/>
      <c r="C18" s="138"/>
      <c r="D18" s="139"/>
      <c r="E18" s="139"/>
      <c r="F18" s="139"/>
      <c r="G18" s="140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showGridLines="0" workbookViewId="0">
      <selection activeCell="A1" sqref="A1"/>
    </sheetView>
  </sheetViews>
  <sheetFormatPr defaultColWidth="8.99074074074074" defaultRowHeight="13.2" outlineLevelCol="5"/>
  <cols>
    <col min="1" max="1" width="10" style="2" customWidth="1"/>
    <col min="2" max="2" width="16" style="85" customWidth="1"/>
    <col min="3" max="3" width="27" style="86" customWidth="1"/>
    <col min="4" max="5" width="45" style="86" customWidth="1"/>
    <col min="6" max="6" width="21" style="86" customWidth="1"/>
    <col min="7" max="257" width="8.99074074074074" style="2" customWidth="1"/>
  </cols>
  <sheetData>
    <row r="1" s="1" customFormat="1" ht="24.6" customHeight="1" spans="1:6">
      <c r="A1" s="3"/>
      <c r="B1" s="87"/>
      <c r="C1" s="3"/>
      <c r="D1" s="88" t="s">
        <v>25</v>
      </c>
      <c r="E1" s="89"/>
      <c r="F1" s="3"/>
    </row>
    <row r="2" s="1" customFormat="1" ht="13.5" customHeight="1" spans="1:6">
      <c r="A2" s="3"/>
      <c r="B2" s="87"/>
      <c r="C2" s="3"/>
      <c r="D2" s="90"/>
      <c r="E2" s="90"/>
      <c r="F2" s="3"/>
    </row>
    <row r="3" s="1" customFormat="1" customHeight="1" spans="1:6">
      <c r="A3" s="3"/>
      <c r="B3" s="91" t="s">
        <v>1</v>
      </c>
      <c r="C3" s="17"/>
      <c r="D3" s="13" t="str">
        <f>Cover!C4</f>
        <v>Website bán quần áo tích hợp chatbot</v>
      </c>
      <c r="E3" s="17"/>
      <c r="F3" s="9"/>
    </row>
    <row r="4" s="1" customFormat="1" customHeight="1" spans="1:6">
      <c r="A4" s="3"/>
      <c r="B4" s="91" t="s">
        <v>5</v>
      </c>
      <c r="C4" s="17"/>
      <c r="D4" s="13" t="str">
        <f>Cover!C5</f>
        <v>WCB</v>
      </c>
      <c r="E4" s="17"/>
      <c r="F4" s="9"/>
    </row>
    <row r="5" s="1" customFormat="1" ht="84.75" customHeight="1" spans="1:6">
      <c r="A5" s="3"/>
      <c r="B5" s="92" t="s">
        <v>26</v>
      </c>
      <c r="C5" s="9"/>
      <c r="D5" s="16" t="s">
        <v>27</v>
      </c>
      <c r="E5" s="17"/>
      <c r="F5" s="9"/>
    </row>
    <row r="6" s="1" customFormat="1" customHeight="1" spans="1:6">
      <c r="A6" s="3"/>
      <c r="B6" s="93"/>
      <c r="C6" s="2"/>
      <c r="D6" s="2"/>
      <c r="E6" s="2"/>
      <c r="F6" s="2"/>
    </row>
    <row r="7" s="1" customFormat="1" customHeight="1" spans="1:6">
      <c r="A7" s="3"/>
      <c r="B7" s="94"/>
      <c r="C7" s="95"/>
      <c r="D7" s="95"/>
      <c r="E7" s="95"/>
      <c r="F7" s="95"/>
    </row>
    <row r="8" s="1" customFormat="1" ht="21" customHeight="1" spans="1:6">
      <c r="A8" s="82"/>
      <c r="B8" s="96" t="s">
        <v>28</v>
      </c>
      <c r="C8" s="97" t="s">
        <v>29</v>
      </c>
      <c r="D8" s="97" t="s">
        <v>30</v>
      </c>
      <c r="E8" s="98" t="s">
        <v>31</v>
      </c>
      <c r="F8" s="99" t="s">
        <v>32</v>
      </c>
    </row>
    <row r="9" s="1" customFormat="1" ht="30" customHeight="1" spans="1:6">
      <c r="A9" s="3"/>
      <c r="B9" s="100">
        <v>1</v>
      </c>
      <c r="C9" s="101" t="s">
        <v>33</v>
      </c>
      <c r="D9" s="102" t="s">
        <v>34</v>
      </c>
      <c r="E9" s="103" t="s">
        <v>35</v>
      </c>
      <c r="F9" s="104" t="s">
        <v>36</v>
      </c>
    </row>
    <row r="10" s="1" customFormat="1" ht="45" customHeight="1" spans="1:6">
      <c r="A10" s="3"/>
      <c r="B10" s="100">
        <v>2</v>
      </c>
      <c r="C10" s="101" t="s">
        <v>37</v>
      </c>
      <c r="D10" s="102" t="s">
        <v>38</v>
      </c>
      <c r="E10" s="103" t="s">
        <v>39</v>
      </c>
      <c r="F10" s="104" t="s">
        <v>40</v>
      </c>
    </row>
    <row r="11" s="1" customFormat="1" customHeight="1" spans="1:6">
      <c r="A11" s="3"/>
      <c r="B11" s="100"/>
      <c r="C11" s="101"/>
      <c r="D11" s="102" t="s">
        <v>41</v>
      </c>
      <c r="E11" s="102"/>
      <c r="F11" s="104"/>
    </row>
    <row r="12" s="1" customFormat="1" customHeight="1" spans="1:6">
      <c r="A12" s="3"/>
      <c r="B12" s="100"/>
      <c r="C12" s="101"/>
      <c r="D12" s="102" t="s">
        <v>42</v>
      </c>
      <c r="E12" s="102"/>
      <c r="F12" s="104"/>
    </row>
    <row r="13" s="1" customFormat="1" customHeight="1" spans="1:6">
      <c r="A13" s="3"/>
      <c r="B13" s="100"/>
      <c r="C13" s="101"/>
      <c r="D13" s="102" t="s">
        <v>43</v>
      </c>
      <c r="E13" s="102"/>
      <c r="F13" s="104"/>
    </row>
    <row r="14" s="1" customFormat="1" customHeight="1" spans="1:6">
      <c r="A14" s="3"/>
      <c r="B14" s="100"/>
      <c r="C14" s="101"/>
      <c r="D14" s="105"/>
      <c r="E14" s="105"/>
      <c r="F14" s="104"/>
    </row>
    <row r="15" s="1" customFormat="1" customHeight="1" spans="1:6">
      <c r="A15" s="3"/>
      <c r="B15" s="100"/>
      <c r="C15" s="101"/>
      <c r="D15" s="105"/>
      <c r="E15" s="105"/>
      <c r="F15" s="104"/>
    </row>
    <row r="16" s="1" customFormat="1" customHeight="1" spans="1:6">
      <c r="A16" s="3"/>
      <c r="B16" s="100"/>
      <c r="C16" s="101"/>
      <c r="D16" s="105"/>
      <c r="E16" s="105"/>
      <c r="F16" s="104"/>
    </row>
    <row r="17" s="1" customFormat="1" customHeight="1" spans="1:6">
      <c r="A17" s="3"/>
      <c r="B17" s="100"/>
      <c r="C17" s="101"/>
      <c r="D17" s="105"/>
      <c r="E17" s="105"/>
      <c r="F17" s="104"/>
    </row>
    <row r="18" s="1" customFormat="1" customHeight="1" spans="1:6">
      <c r="A18" s="3"/>
      <c r="B18" s="100"/>
      <c r="C18" s="101"/>
      <c r="D18" s="105"/>
      <c r="E18" s="105"/>
      <c r="F18" s="104"/>
    </row>
    <row r="19" s="1" customFormat="1" customHeight="1" spans="1:6">
      <c r="A19" s="3"/>
      <c r="B19" s="100"/>
      <c r="C19" s="101"/>
      <c r="D19" s="105"/>
      <c r="E19" s="105"/>
      <c r="F19" s="104"/>
    </row>
    <row r="20" s="1" customFormat="1" customHeight="1" spans="1:6">
      <c r="A20" s="3"/>
      <c r="B20" s="100"/>
      <c r="C20" s="101"/>
      <c r="D20" s="105"/>
      <c r="E20" s="105"/>
      <c r="F20" s="104"/>
    </row>
    <row r="21" s="1" customFormat="1" customHeight="1" spans="1:6">
      <c r="A21" s="3"/>
      <c r="B21" s="106"/>
      <c r="C21" s="107"/>
      <c r="D21" s="108"/>
      <c r="E21" s="108"/>
      <c r="F21" s="109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showGridLines="0" zoomScale="40" zoomScaleNormal="40" workbookViewId="0">
      <selection activeCell="P13" sqref="P13"/>
    </sheetView>
  </sheetViews>
  <sheetFormatPr defaultColWidth="8.99074074074074" defaultRowHeight="13.2"/>
  <cols>
    <col min="1" max="1" width="16" style="2" customWidth="1"/>
    <col min="2" max="4" width="45" style="2" customWidth="1"/>
    <col min="5" max="5" width="29" style="2" customWidth="1"/>
    <col min="6" max="6" width="12" style="2" customWidth="1"/>
    <col min="7" max="7" width="38" style="2" customWidth="1"/>
    <col min="8" max="8" width="45" style="2" customWidth="1"/>
    <col min="9" max="9" width="10" style="41" customWidth="1"/>
    <col min="10" max="10" width="10" style="2" customWidth="1"/>
    <col min="11" max="257" width="8.99074074074074" style="2" customWidth="1"/>
  </cols>
  <sheetData>
    <row r="1" s="1" customFormat="1" customHeight="1" spans="1:10">
      <c r="A1" s="42"/>
      <c r="B1" s="43"/>
      <c r="C1" s="43"/>
      <c r="D1" s="43"/>
      <c r="E1" s="43"/>
      <c r="F1" s="44"/>
      <c r="G1" s="45"/>
      <c r="H1" s="46"/>
      <c r="I1" s="77"/>
      <c r="J1" s="3"/>
    </row>
    <row r="2" s="1" customFormat="1" ht="15" customHeight="1" spans="1:10">
      <c r="A2" s="47" t="s">
        <v>44</v>
      </c>
      <c r="B2" s="48" t="s">
        <v>45</v>
      </c>
      <c r="C2" s="17"/>
      <c r="D2" s="17"/>
      <c r="E2" s="17"/>
      <c r="F2" s="49"/>
      <c r="G2" s="46"/>
      <c r="H2" s="46"/>
      <c r="I2" s="77"/>
      <c r="J2" s="78" t="s">
        <v>46</v>
      </c>
    </row>
    <row r="3" s="1" customFormat="1" ht="25.5" customHeight="1" spans="1:10">
      <c r="A3" s="50" t="s">
        <v>47</v>
      </c>
      <c r="B3" s="48" t="s">
        <v>48</v>
      </c>
      <c r="C3" s="17"/>
      <c r="D3" s="17"/>
      <c r="E3" s="17"/>
      <c r="F3" s="49"/>
      <c r="G3" s="46"/>
      <c r="H3" s="46"/>
      <c r="I3" s="77"/>
      <c r="J3" s="78" t="s">
        <v>49</v>
      </c>
    </row>
    <row r="4" s="1" customFormat="1" ht="18" customHeight="1" spans="1:10">
      <c r="A4" s="47" t="s">
        <v>50</v>
      </c>
      <c r="B4" s="51" t="s">
        <v>51</v>
      </c>
      <c r="C4" s="52"/>
      <c r="D4" s="52"/>
      <c r="E4" s="52"/>
      <c r="F4" s="53"/>
      <c r="G4" s="46"/>
      <c r="H4" s="46"/>
      <c r="I4" s="77"/>
      <c r="J4" s="79"/>
    </row>
    <row r="5" s="1" customFormat="1" ht="19.5" customHeight="1" spans="1:10">
      <c r="A5" s="54" t="s">
        <v>46</v>
      </c>
      <c r="B5" s="55" t="s">
        <v>49</v>
      </c>
      <c r="C5" s="55" t="s">
        <v>52</v>
      </c>
      <c r="D5" s="56" t="s">
        <v>53</v>
      </c>
      <c r="E5" s="57" t="s">
        <v>54</v>
      </c>
      <c r="F5" s="49"/>
      <c r="G5" s="58"/>
      <c r="H5" s="58"/>
      <c r="I5" s="80"/>
      <c r="J5" s="78" t="s">
        <v>55</v>
      </c>
    </row>
    <row r="6" s="1" customFormat="1" ht="15" customHeight="1" spans="1:10">
      <c r="A6" s="84">
        <f>COUNTIF(F9:F998,"Pass")</f>
        <v>10</v>
      </c>
      <c r="B6" s="60">
        <f>COUNTIF(F9:F998,"Fail")</f>
        <v>2</v>
      </c>
      <c r="C6" s="60">
        <f>E6-D6-B6-A6</f>
        <v>0</v>
      </c>
      <c r="D6" s="61">
        <f>COUNTIF(F$9:F$998,"N/A")</f>
        <v>0</v>
      </c>
      <c r="E6" s="62">
        <f>COUNTA(A9:A998)</f>
        <v>12</v>
      </c>
      <c r="F6" s="63"/>
      <c r="G6" s="58"/>
      <c r="H6" s="58"/>
      <c r="I6" s="80"/>
      <c r="J6" s="78" t="s">
        <v>53</v>
      </c>
    </row>
    <row r="7" s="1" customFormat="1" ht="15" customHeight="1" spans="1:10">
      <c r="A7" s="3"/>
      <c r="B7" s="3"/>
      <c r="C7" s="3"/>
      <c r="D7" s="40"/>
      <c r="E7" s="40"/>
      <c r="F7" s="58"/>
      <c r="G7" s="58"/>
      <c r="H7" s="58"/>
      <c r="I7" s="80"/>
      <c r="J7" s="3"/>
    </row>
    <row r="8" s="1" customFormat="1" ht="25.5" customHeight="1" spans="1:10">
      <c r="A8" s="64" t="s">
        <v>56</v>
      </c>
      <c r="B8" s="64" t="s">
        <v>57</v>
      </c>
      <c r="C8" s="64" t="s">
        <v>58</v>
      </c>
      <c r="D8" s="64" t="s">
        <v>59</v>
      </c>
      <c r="E8" s="65" t="s">
        <v>60</v>
      </c>
      <c r="F8" s="65" t="s">
        <v>61</v>
      </c>
      <c r="G8" s="65" t="s">
        <v>60</v>
      </c>
      <c r="H8" s="64" t="s">
        <v>31</v>
      </c>
      <c r="I8" s="81"/>
      <c r="J8" s="82"/>
    </row>
    <row r="9" s="1" customFormat="1" ht="85.5" customHeight="1" spans="1:10">
      <c r="A9" s="69" t="s">
        <v>62</v>
      </c>
      <c r="B9" s="69" t="s">
        <v>63</v>
      </c>
      <c r="C9" s="69" t="s">
        <v>64</v>
      </c>
      <c r="D9" s="69" t="s">
        <v>65</v>
      </c>
      <c r="E9" s="69" t="s">
        <v>66</v>
      </c>
      <c r="F9" s="69" t="s">
        <v>46</v>
      </c>
      <c r="G9" s="69" t="s">
        <v>67</v>
      </c>
      <c r="H9" s="69" t="s">
        <v>68</v>
      </c>
      <c r="I9" s="77"/>
      <c r="J9" s="3"/>
    </row>
    <row r="10" s="1" customFormat="1" ht="85.5" customHeight="1" spans="1:10">
      <c r="A10" s="69" t="s">
        <v>69</v>
      </c>
      <c r="B10" s="69" t="s">
        <v>70</v>
      </c>
      <c r="C10" s="69" t="s">
        <v>71</v>
      </c>
      <c r="D10" s="69" t="s">
        <v>72</v>
      </c>
      <c r="E10" s="69" t="s">
        <v>73</v>
      </c>
      <c r="F10" s="69" t="s">
        <v>46</v>
      </c>
      <c r="G10" s="69" t="s">
        <v>74</v>
      </c>
      <c r="H10" s="69" t="s">
        <v>68</v>
      </c>
      <c r="I10" s="77"/>
      <c r="J10" s="3"/>
    </row>
    <row r="11" s="1" customFormat="1" ht="75" customHeight="1" spans="1:10">
      <c r="A11" s="69" t="s">
        <v>75</v>
      </c>
      <c r="B11" s="69" t="s">
        <v>76</v>
      </c>
      <c r="C11" s="69" t="s">
        <v>77</v>
      </c>
      <c r="D11" s="71" t="s">
        <v>78</v>
      </c>
      <c r="E11" s="71" t="s">
        <v>79</v>
      </c>
      <c r="F11" s="69" t="s">
        <v>46</v>
      </c>
      <c r="G11" s="69" t="s">
        <v>80</v>
      </c>
      <c r="H11" s="69" t="s">
        <v>68</v>
      </c>
      <c r="I11" s="77"/>
      <c r="J11" s="3"/>
    </row>
    <row r="12" s="1" customFormat="1" ht="75" customHeight="1" spans="1:10">
      <c r="A12" s="69" t="s">
        <v>81</v>
      </c>
      <c r="B12" s="69" t="s">
        <v>82</v>
      </c>
      <c r="C12" s="69" t="s">
        <v>83</v>
      </c>
      <c r="D12" s="71" t="s">
        <v>84</v>
      </c>
      <c r="E12" s="71" t="s">
        <v>85</v>
      </c>
      <c r="F12" s="69" t="s">
        <v>46</v>
      </c>
      <c r="G12" s="69" t="s">
        <v>86</v>
      </c>
      <c r="H12" s="69" t="s">
        <v>68</v>
      </c>
      <c r="I12" s="77"/>
      <c r="J12" s="3"/>
    </row>
    <row r="13" s="1" customFormat="1" ht="75" customHeight="1" spans="1:10">
      <c r="A13" s="72" t="s">
        <v>87</v>
      </c>
      <c r="B13" s="73" t="s">
        <v>88</v>
      </c>
      <c r="C13" s="73" t="s">
        <v>89</v>
      </c>
      <c r="D13" s="73" t="s">
        <v>90</v>
      </c>
      <c r="E13" s="73" t="s">
        <v>91</v>
      </c>
      <c r="F13" s="73" t="s">
        <v>49</v>
      </c>
      <c r="G13" s="73" t="s">
        <v>92</v>
      </c>
      <c r="H13" s="73" t="s">
        <v>93</v>
      </c>
      <c r="I13" s="83"/>
      <c r="J13" s="3"/>
    </row>
    <row r="14" s="1" customFormat="1" ht="75" customHeight="1" spans="1:10">
      <c r="A14" s="69" t="s">
        <v>94</v>
      </c>
      <c r="B14" s="69" t="s">
        <v>95</v>
      </c>
      <c r="C14" s="69" t="s">
        <v>96</v>
      </c>
      <c r="D14" s="69" t="s">
        <v>97</v>
      </c>
      <c r="E14" s="69" t="s">
        <v>98</v>
      </c>
      <c r="F14" s="69" t="s">
        <v>46</v>
      </c>
      <c r="G14" s="69" t="s">
        <v>68</v>
      </c>
      <c r="H14" s="69" t="s">
        <v>68</v>
      </c>
      <c r="I14" s="77"/>
      <c r="J14" s="3"/>
    </row>
    <row r="15" s="1" customFormat="1" ht="75" customHeight="1" spans="1:10">
      <c r="A15" s="69" t="s">
        <v>99</v>
      </c>
      <c r="B15" s="69" t="s">
        <v>100</v>
      </c>
      <c r="C15" s="69" t="s">
        <v>101</v>
      </c>
      <c r="D15" s="69" t="s">
        <v>102</v>
      </c>
      <c r="E15" s="69" t="s">
        <v>103</v>
      </c>
      <c r="F15" s="69" t="s">
        <v>49</v>
      </c>
      <c r="G15" s="69" t="s">
        <v>104</v>
      </c>
      <c r="H15" s="69" t="s">
        <v>105</v>
      </c>
      <c r="I15" s="41"/>
      <c r="J15" s="3"/>
    </row>
    <row r="16" s="1" customFormat="1" ht="75" customHeight="1" spans="1:10">
      <c r="A16" s="72" t="s">
        <v>106</v>
      </c>
      <c r="B16" s="73" t="s">
        <v>107</v>
      </c>
      <c r="C16" s="73" t="s">
        <v>108</v>
      </c>
      <c r="D16" s="73" t="s">
        <v>109</v>
      </c>
      <c r="E16" s="73" t="s">
        <v>110</v>
      </c>
      <c r="F16" s="73" t="s">
        <v>46</v>
      </c>
      <c r="G16" s="73" t="s">
        <v>111</v>
      </c>
      <c r="H16" s="73" t="s">
        <v>68</v>
      </c>
      <c r="I16" s="83"/>
      <c r="J16" s="3"/>
    </row>
    <row r="17" s="1" customFormat="1" ht="75" customHeight="1" spans="1:10">
      <c r="A17" s="69" t="s">
        <v>112</v>
      </c>
      <c r="B17" s="69" t="s">
        <v>113</v>
      </c>
      <c r="C17" s="69" t="s">
        <v>114</v>
      </c>
      <c r="D17" s="69" t="s">
        <v>115</v>
      </c>
      <c r="E17" s="69" t="s">
        <v>116</v>
      </c>
      <c r="F17" s="69" t="s">
        <v>46</v>
      </c>
      <c r="G17" s="69" t="s">
        <v>117</v>
      </c>
      <c r="H17" s="69" t="s">
        <v>68</v>
      </c>
      <c r="I17" s="77"/>
      <c r="J17" s="3"/>
    </row>
    <row r="18" s="1" customFormat="1" ht="75" customHeight="1" spans="1:10">
      <c r="A18" s="74" t="s">
        <v>118</v>
      </c>
      <c r="B18" s="75" t="s">
        <v>119</v>
      </c>
      <c r="C18" s="75" t="s">
        <v>120</v>
      </c>
      <c r="D18" s="75" t="s">
        <v>121</v>
      </c>
      <c r="E18" s="75" t="s">
        <v>122</v>
      </c>
      <c r="F18" s="75" t="s">
        <v>46</v>
      </c>
      <c r="G18" s="75" t="s">
        <v>68</v>
      </c>
      <c r="H18" s="75" t="s">
        <v>68</v>
      </c>
      <c r="I18" s="3"/>
      <c r="J18" s="3"/>
    </row>
    <row r="19" s="1" customFormat="1" ht="75" customHeight="1" spans="1:10">
      <c r="A19" s="74" t="s">
        <v>123</v>
      </c>
      <c r="B19" s="75" t="s">
        <v>124</v>
      </c>
      <c r="C19" s="75" t="s">
        <v>125</v>
      </c>
      <c r="D19" s="75" t="s">
        <v>126</v>
      </c>
      <c r="E19" s="75" t="s">
        <v>127</v>
      </c>
      <c r="F19" s="75" t="s">
        <v>46</v>
      </c>
      <c r="G19" s="75" t="s">
        <v>128</v>
      </c>
      <c r="H19" s="75" t="s">
        <v>68</v>
      </c>
      <c r="I19" s="3"/>
      <c r="J19" s="3"/>
    </row>
    <row r="20" s="1" customFormat="1" ht="75" customHeight="1" spans="1:10">
      <c r="A20" s="74" t="s">
        <v>129</v>
      </c>
      <c r="B20" s="75" t="s">
        <v>130</v>
      </c>
      <c r="C20" s="75" t="s">
        <v>131</v>
      </c>
      <c r="D20" s="75" t="s">
        <v>132</v>
      </c>
      <c r="E20" s="75" t="s">
        <v>133</v>
      </c>
      <c r="F20" s="75" t="s">
        <v>46</v>
      </c>
      <c r="G20" s="75" t="s">
        <v>134</v>
      </c>
      <c r="H20" s="75" t="s">
        <v>68</v>
      </c>
      <c r="I20" s="3"/>
      <c r="J20" s="3"/>
    </row>
  </sheetData>
  <mergeCells count="5">
    <mergeCell ref="B2:F2"/>
    <mergeCell ref="B3:F3"/>
    <mergeCell ref="B4:F4"/>
    <mergeCell ref="E5:F5"/>
    <mergeCell ref="E6:F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zoomScale="40" zoomScaleNormal="40" workbookViewId="0">
      <selection activeCell="L13" sqref="L13"/>
    </sheetView>
  </sheetViews>
  <sheetFormatPr defaultColWidth="8.99074074074074" defaultRowHeight="13.2"/>
  <cols>
    <col min="1" max="1" width="16" style="2" customWidth="1"/>
    <col min="2" max="4" width="45" style="2" customWidth="1"/>
    <col min="5" max="5" width="28" style="2" customWidth="1"/>
    <col min="6" max="7" width="12" style="2" customWidth="1"/>
    <col min="8" max="8" width="10" style="2" customWidth="1"/>
    <col min="9" max="9" width="10" style="41" customWidth="1"/>
    <col min="10" max="257" width="10" style="2" customWidth="1"/>
  </cols>
  <sheetData>
    <row r="1" s="1" customFormat="1" customHeight="1" spans="1:11">
      <c r="A1" s="42"/>
      <c r="B1" s="43"/>
      <c r="C1" s="43"/>
      <c r="D1" s="43"/>
      <c r="E1" s="43"/>
      <c r="F1" s="44"/>
      <c r="G1" s="45"/>
      <c r="H1" s="46"/>
      <c r="I1" s="77"/>
      <c r="J1" s="3"/>
      <c r="K1" s="3"/>
    </row>
    <row r="2" s="1" customFormat="1" ht="15" customHeight="1" spans="1:11">
      <c r="A2" s="47" t="s">
        <v>44</v>
      </c>
      <c r="B2" s="48" t="s">
        <v>135</v>
      </c>
      <c r="C2" s="17"/>
      <c r="D2" s="17"/>
      <c r="E2" s="17"/>
      <c r="F2" s="49"/>
      <c r="G2" s="46"/>
      <c r="H2" s="46"/>
      <c r="I2" s="77"/>
      <c r="J2" s="78" t="s">
        <v>46</v>
      </c>
      <c r="K2" s="3"/>
    </row>
    <row r="3" s="1" customFormat="1" ht="25.5" customHeight="1" spans="1:11">
      <c r="A3" s="50" t="s">
        <v>47</v>
      </c>
      <c r="B3" s="48" t="s">
        <v>136</v>
      </c>
      <c r="C3" s="17"/>
      <c r="D3" s="17"/>
      <c r="E3" s="17"/>
      <c r="F3" s="49"/>
      <c r="G3" s="46"/>
      <c r="H3" s="46"/>
      <c r="I3" s="77"/>
      <c r="J3" s="78" t="s">
        <v>49</v>
      </c>
      <c r="K3" s="3"/>
    </row>
    <row r="4" s="1" customFormat="1" ht="18" customHeight="1" spans="1:11">
      <c r="A4" s="47" t="s">
        <v>50</v>
      </c>
      <c r="B4" s="51" t="s">
        <v>51</v>
      </c>
      <c r="C4" s="52"/>
      <c r="D4" s="52"/>
      <c r="E4" s="52"/>
      <c r="F4" s="53"/>
      <c r="G4" s="46"/>
      <c r="H4" s="46"/>
      <c r="I4" s="77"/>
      <c r="J4" s="79"/>
      <c r="K4" s="3"/>
    </row>
    <row r="5" s="1" customFormat="1" ht="19.5" customHeight="1" spans="1:11">
      <c r="A5" s="54" t="s">
        <v>46</v>
      </c>
      <c r="B5" s="55" t="s">
        <v>49</v>
      </c>
      <c r="C5" s="55" t="s">
        <v>52</v>
      </c>
      <c r="D5" s="56" t="s">
        <v>53</v>
      </c>
      <c r="E5" s="57" t="s">
        <v>54</v>
      </c>
      <c r="F5" s="49"/>
      <c r="G5" s="58"/>
      <c r="H5" s="58"/>
      <c r="I5" s="80"/>
      <c r="J5" s="78" t="s">
        <v>55</v>
      </c>
      <c r="K5" s="3"/>
    </row>
    <row r="6" s="1" customFormat="1" ht="15" customHeight="1" spans="1:11">
      <c r="A6" s="59">
        <f>COUNTIF(F10:F998,"Pass")</f>
        <v>8</v>
      </c>
      <c r="B6" s="60">
        <f>COUNTIF(F10:F998,"Fail")</f>
        <v>0</v>
      </c>
      <c r="C6" s="60">
        <f>E6-D6-B6-A6</f>
        <v>0</v>
      </c>
      <c r="D6" s="61">
        <f>COUNTIF(F$10:F$998,"N/A")</f>
        <v>0</v>
      </c>
      <c r="E6" s="62">
        <f>COUNTA(A10:A998)</f>
        <v>8</v>
      </c>
      <c r="F6" s="63"/>
      <c r="G6" s="58"/>
      <c r="H6" s="58"/>
      <c r="I6" s="80"/>
      <c r="J6" s="78" t="s">
        <v>53</v>
      </c>
      <c r="K6" s="3"/>
    </row>
    <row r="7" s="1" customFormat="1" ht="15" customHeight="1" spans="1:11">
      <c r="A7" s="3"/>
      <c r="B7" s="3"/>
      <c r="C7" s="3"/>
      <c r="D7" s="40"/>
      <c r="E7" s="40"/>
      <c r="F7" s="40"/>
      <c r="G7" s="40"/>
      <c r="H7" s="40"/>
      <c r="I7" s="80"/>
      <c r="J7" s="3"/>
      <c r="K7" s="3"/>
    </row>
    <row r="8" s="1" customFormat="1" ht="25.5" customHeight="1" spans="1:11">
      <c r="A8" s="64" t="s">
        <v>56</v>
      </c>
      <c r="B8" s="64" t="s">
        <v>57</v>
      </c>
      <c r="C8" s="64" t="s">
        <v>58</v>
      </c>
      <c r="D8" s="64" t="s">
        <v>59</v>
      </c>
      <c r="E8" s="65" t="s">
        <v>137</v>
      </c>
      <c r="F8" s="65" t="s">
        <v>61</v>
      </c>
      <c r="G8" s="65" t="s">
        <v>138</v>
      </c>
      <c r="H8" s="64" t="s">
        <v>139</v>
      </c>
      <c r="I8" s="81"/>
      <c r="J8" s="82"/>
      <c r="K8" s="82"/>
    </row>
    <row r="9" s="1" customFormat="1" ht="15.75" customHeight="1" spans="1:11">
      <c r="A9" s="66"/>
      <c r="B9" s="66"/>
      <c r="C9" s="67"/>
      <c r="D9" s="67"/>
      <c r="E9" s="67"/>
      <c r="F9" s="67"/>
      <c r="G9" s="67"/>
      <c r="H9" s="68"/>
      <c r="I9" s="83"/>
      <c r="J9" s="3"/>
      <c r="K9" s="3"/>
    </row>
    <row r="10" s="1" customFormat="1" ht="120.9" customHeight="1" spans="1:11">
      <c r="A10" s="69" t="s">
        <v>140</v>
      </c>
      <c r="B10" s="70" t="s">
        <v>141</v>
      </c>
      <c r="C10" s="70" t="s">
        <v>142</v>
      </c>
      <c r="D10" s="70" t="s">
        <v>143</v>
      </c>
      <c r="E10" s="70" t="s">
        <v>122</v>
      </c>
      <c r="F10" s="69" t="s">
        <v>46</v>
      </c>
      <c r="G10" s="69" t="s">
        <v>12</v>
      </c>
      <c r="H10" s="71" t="s">
        <v>68</v>
      </c>
      <c r="I10" s="77"/>
      <c r="J10" s="3"/>
      <c r="K10" s="3"/>
    </row>
    <row r="11" s="1" customFormat="1" ht="75" customHeight="1" spans="1:11">
      <c r="A11" s="69" t="s">
        <v>144</v>
      </c>
      <c r="B11" s="69" t="s">
        <v>145</v>
      </c>
      <c r="C11" s="69" t="s">
        <v>146</v>
      </c>
      <c r="D11" s="71" t="s">
        <v>147</v>
      </c>
      <c r="E11" s="71" t="s">
        <v>140</v>
      </c>
      <c r="F11" s="69" t="s">
        <v>46</v>
      </c>
      <c r="G11" s="69" t="s">
        <v>12</v>
      </c>
      <c r="H11" s="71" t="s">
        <v>68</v>
      </c>
      <c r="I11" s="77"/>
      <c r="J11" s="3"/>
      <c r="K11" s="3"/>
    </row>
    <row r="12" s="1" customFormat="1" ht="75" customHeight="1" spans="1:11">
      <c r="A12" s="69" t="s">
        <v>148</v>
      </c>
      <c r="B12" s="69" t="s">
        <v>149</v>
      </c>
      <c r="C12" s="69" t="s">
        <v>150</v>
      </c>
      <c r="D12" s="71" t="s">
        <v>151</v>
      </c>
      <c r="E12" s="71" t="s">
        <v>140</v>
      </c>
      <c r="F12" s="69" t="s">
        <v>46</v>
      </c>
      <c r="G12" s="69" t="s">
        <v>12</v>
      </c>
      <c r="H12" s="71" t="s">
        <v>68</v>
      </c>
      <c r="I12" s="77"/>
      <c r="J12" s="3"/>
      <c r="K12" s="3"/>
    </row>
    <row r="13" s="1" customFormat="1" ht="75" customHeight="1" spans="1:11">
      <c r="A13" s="72" t="s">
        <v>152</v>
      </c>
      <c r="B13" s="73" t="s">
        <v>153</v>
      </c>
      <c r="C13" s="73" t="s">
        <v>154</v>
      </c>
      <c r="D13" s="73" t="s">
        <v>155</v>
      </c>
      <c r="E13" s="73" t="s">
        <v>148</v>
      </c>
      <c r="F13" s="73" t="s">
        <v>46</v>
      </c>
      <c r="G13" s="73" t="s">
        <v>12</v>
      </c>
      <c r="H13" s="73" t="s">
        <v>68</v>
      </c>
      <c r="I13" s="83"/>
      <c r="J13" s="3"/>
      <c r="K13" s="3"/>
    </row>
    <row r="14" s="1" customFormat="1" ht="75" customHeight="1" spans="1:11">
      <c r="A14" s="69" t="s">
        <v>156</v>
      </c>
      <c r="B14" s="69" t="s">
        <v>157</v>
      </c>
      <c r="C14" s="69" t="s">
        <v>158</v>
      </c>
      <c r="D14" s="69" t="s">
        <v>159</v>
      </c>
      <c r="E14" s="69" t="s">
        <v>148</v>
      </c>
      <c r="F14" s="69" t="s">
        <v>46</v>
      </c>
      <c r="G14" s="69" t="s">
        <v>12</v>
      </c>
      <c r="H14" s="71" t="s">
        <v>68</v>
      </c>
      <c r="I14" s="77"/>
      <c r="J14" s="3"/>
      <c r="K14" s="3"/>
    </row>
    <row r="15" s="1" customFormat="1" ht="75" customHeight="1" spans="1:11">
      <c r="A15" s="69" t="s">
        <v>160</v>
      </c>
      <c r="B15" s="69" t="s">
        <v>161</v>
      </c>
      <c r="C15" s="69" t="s">
        <v>162</v>
      </c>
      <c r="D15" s="69" t="s">
        <v>163</v>
      </c>
      <c r="E15" s="69" t="s">
        <v>148</v>
      </c>
      <c r="F15" s="69" t="s">
        <v>46</v>
      </c>
      <c r="G15" s="69" t="s">
        <v>12</v>
      </c>
      <c r="H15" s="69" t="s">
        <v>68</v>
      </c>
      <c r="I15" s="41"/>
      <c r="J15" s="3"/>
      <c r="K15" s="3"/>
    </row>
    <row r="16" s="1" customFormat="1" ht="75" customHeight="1" spans="1:11">
      <c r="A16" s="74" t="s">
        <v>164</v>
      </c>
      <c r="B16" s="75" t="s">
        <v>165</v>
      </c>
      <c r="C16" s="75" t="s">
        <v>166</v>
      </c>
      <c r="D16" s="75" t="s">
        <v>167</v>
      </c>
      <c r="E16" s="75" t="s">
        <v>148</v>
      </c>
      <c r="F16" s="76" t="s">
        <v>46</v>
      </c>
      <c r="G16" s="75" t="s">
        <v>12</v>
      </c>
      <c r="H16" s="75" t="s">
        <v>68</v>
      </c>
      <c r="I16" s="83"/>
      <c r="J16" s="78"/>
      <c r="K16" s="78"/>
    </row>
    <row r="17" s="1" customFormat="1" ht="75" customHeight="1" spans="1:11">
      <c r="A17" s="74" t="s">
        <v>168</v>
      </c>
      <c r="B17" s="75" t="s">
        <v>169</v>
      </c>
      <c r="C17" s="75" t="s">
        <v>170</v>
      </c>
      <c r="D17" s="75" t="s">
        <v>171</v>
      </c>
      <c r="E17" s="75" t="s">
        <v>148</v>
      </c>
      <c r="F17" s="69" t="s">
        <v>46</v>
      </c>
      <c r="G17" s="75" t="s">
        <v>12</v>
      </c>
      <c r="H17" s="75" t="s">
        <v>68</v>
      </c>
      <c r="I17" s="77"/>
      <c r="J17" s="3"/>
      <c r="K17" s="3"/>
    </row>
  </sheetData>
  <mergeCells count="5">
    <mergeCell ref="B2:F2"/>
    <mergeCell ref="B3:F3"/>
    <mergeCell ref="B4:F4"/>
    <mergeCell ref="E5:F5"/>
    <mergeCell ref="E6:F6"/>
  </mergeCell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tabSelected="1" workbookViewId="0">
      <selection activeCell="A1" sqref="A1"/>
    </sheetView>
  </sheetViews>
  <sheetFormatPr defaultColWidth="8.99074074074074" defaultRowHeight="13.2" outlineLevelCol="7"/>
  <cols>
    <col min="1" max="1" width="10" style="2" customWidth="1"/>
    <col min="2" max="2" width="15" style="2" customWidth="1"/>
    <col min="3" max="3" width="45" style="2" customWidth="1"/>
    <col min="4" max="4" width="14" style="2" customWidth="1"/>
    <col min="5" max="5" width="26" style="1" customWidth="1"/>
    <col min="6" max="7" width="14" style="1" customWidth="1"/>
    <col min="8" max="9" width="41" style="2" customWidth="1"/>
    <col min="10" max="257" width="8.99074074074074" style="2" customWidth="1"/>
  </cols>
  <sheetData>
    <row r="1" s="1" customFormat="1" ht="25.5" customHeight="1" spans="1:8">
      <c r="A1" s="3"/>
      <c r="B1" s="4" t="s">
        <v>172</v>
      </c>
      <c r="C1" s="3"/>
      <c r="D1" s="3"/>
      <c r="E1" s="3"/>
      <c r="F1" s="3"/>
      <c r="G1" s="3"/>
      <c r="H1" s="3"/>
    </row>
    <row r="2" s="1" customFormat="1" ht="14.25" customHeight="1" spans="1:8">
      <c r="A2" s="5"/>
      <c r="B2" s="5"/>
      <c r="C2" s="2"/>
      <c r="D2" s="2"/>
      <c r="E2" s="2"/>
      <c r="F2" s="2"/>
      <c r="G2" s="2"/>
      <c r="H2" s="6"/>
    </row>
    <row r="3" s="1" customFormat="1" ht="12" customHeight="1" spans="1:8">
      <c r="A3" s="3"/>
      <c r="B3" s="7" t="s">
        <v>1</v>
      </c>
      <c r="C3" s="8" t="s">
        <v>2</v>
      </c>
      <c r="D3" s="9"/>
      <c r="E3" s="10" t="s">
        <v>4</v>
      </c>
      <c r="F3" s="9"/>
      <c r="G3" s="11"/>
      <c r="H3" s="12"/>
    </row>
    <row r="4" s="1" customFormat="1" ht="12" customHeight="1" spans="1:8">
      <c r="A4" s="3"/>
      <c r="B4" s="7" t="s">
        <v>5</v>
      </c>
      <c r="C4" s="13" t="s">
        <v>6</v>
      </c>
      <c r="D4" s="9"/>
      <c r="E4" s="10" t="s">
        <v>8</v>
      </c>
      <c r="F4" s="9"/>
      <c r="G4" s="11"/>
      <c r="H4" s="12"/>
    </row>
    <row r="5" s="1" customFormat="1" ht="12" customHeight="1" spans="1:8">
      <c r="A5" s="3"/>
      <c r="B5" s="14" t="s">
        <v>9</v>
      </c>
      <c r="C5" s="13" t="s">
        <v>173</v>
      </c>
      <c r="D5" s="9"/>
      <c r="E5" s="10" t="s">
        <v>12</v>
      </c>
      <c r="F5" s="9"/>
      <c r="G5" s="11"/>
      <c r="H5" s="15" t="s">
        <v>174</v>
      </c>
    </row>
    <row r="6" s="1" customFormat="1" ht="30" customHeight="1" spans="1:8">
      <c r="A6" s="5"/>
      <c r="B6" s="14" t="s">
        <v>175</v>
      </c>
      <c r="C6" s="16" t="s">
        <v>176</v>
      </c>
      <c r="D6" s="17"/>
      <c r="E6" s="17"/>
      <c r="F6" s="17"/>
      <c r="G6" s="17"/>
      <c r="H6" s="9"/>
    </row>
    <row r="7" s="1" customFormat="1" ht="14.25" customHeight="1" spans="1:8">
      <c r="A7" s="5"/>
      <c r="B7" s="18"/>
      <c r="C7" s="19"/>
      <c r="D7" s="2"/>
      <c r="E7" s="2"/>
      <c r="F7" s="2"/>
      <c r="G7" s="2"/>
      <c r="H7" s="6"/>
    </row>
    <row r="8" s="1" customFormat="1" customHeight="1" spans="1:8">
      <c r="A8" s="3"/>
      <c r="B8" s="18"/>
      <c r="C8" s="19"/>
      <c r="D8" s="2"/>
      <c r="E8" s="2"/>
      <c r="F8" s="2"/>
      <c r="G8" s="2"/>
      <c r="H8" s="6"/>
    </row>
    <row r="9" s="1" customFormat="1" customHeight="1" spans="1:8">
      <c r="A9" s="2"/>
      <c r="B9" s="2"/>
      <c r="C9" s="2"/>
      <c r="D9" s="2"/>
      <c r="E9" s="2"/>
      <c r="F9" s="2"/>
      <c r="G9" s="2"/>
      <c r="H9" s="2"/>
    </row>
    <row r="10" s="1" customFormat="1" customHeight="1" spans="1:8">
      <c r="A10" s="20"/>
      <c r="B10" s="21" t="s">
        <v>28</v>
      </c>
      <c r="C10" s="22" t="s">
        <v>177</v>
      </c>
      <c r="D10" s="23" t="s">
        <v>46</v>
      </c>
      <c r="E10" s="22" t="s">
        <v>49</v>
      </c>
      <c r="F10" s="22" t="s">
        <v>52</v>
      </c>
      <c r="G10" s="24" t="s">
        <v>53</v>
      </c>
      <c r="H10" s="25" t="s">
        <v>178</v>
      </c>
    </row>
    <row r="11" s="1" customFormat="1" customHeight="1" spans="1:8">
      <c r="A11" s="20"/>
      <c r="B11" s="26">
        <v>1</v>
      </c>
      <c r="C11" s="27" t="str">
        <f>Module1!B2</f>
        <v>UI-CUS</v>
      </c>
      <c r="D11" s="28">
        <f>Module1!A6</f>
        <v>10</v>
      </c>
      <c r="E11" s="28">
        <f>Module1!B6</f>
        <v>2</v>
      </c>
      <c r="F11" s="28">
        <f>Module1!C6</f>
        <v>0</v>
      </c>
      <c r="G11" s="29">
        <f>Module1!D6</f>
        <v>0</v>
      </c>
      <c r="H11" s="30">
        <f>Module1!E6</f>
        <v>12</v>
      </c>
    </row>
    <row r="12" s="1" customFormat="1" customHeight="1" spans="1:8">
      <c r="A12" s="20"/>
      <c r="B12" s="26">
        <v>2</v>
      </c>
      <c r="C12" s="27" t="str">
        <f>Module2!B2</f>
        <v>UI-ADM</v>
      </c>
      <c r="D12" s="28">
        <f>Module2!A6</f>
        <v>8</v>
      </c>
      <c r="E12" s="28">
        <f>Module2!B6</f>
        <v>0</v>
      </c>
      <c r="F12" s="28">
        <f>Module2!C6</f>
        <v>0</v>
      </c>
      <c r="G12" s="29">
        <f>Module2!D6</f>
        <v>0</v>
      </c>
      <c r="H12" s="30">
        <f>Module2!E6</f>
        <v>8</v>
      </c>
    </row>
    <row r="13" s="1" customFormat="1" customHeight="1" spans="1:8">
      <c r="A13" s="20"/>
      <c r="B13" s="26"/>
      <c r="C13" s="27"/>
      <c r="D13" s="28"/>
      <c r="E13" s="28"/>
      <c r="F13" s="28"/>
      <c r="G13" s="29"/>
      <c r="H13" s="30"/>
    </row>
    <row r="14" s="1" customFormat="1" customHeight="1" spans="1:8">
      <c r="A14" s="20"/>
      <c r="B14" s="31"/>
      <c r="C14" s="32" t="s">
        <v>179</v>
      </c>
      <c r="D14" s="33">
        <f>SUM(D9:D13)</f>
        <v>18</v>
      </c>
      <c r="E14" s="33">
        <f>SUM(E9:E13)</f>
        <v>2</v>
      </c>
      <c r="F14" s="33">
        <f>SUM(F9:F13)</f>
        <v>0</v>
      </c>
      <c r="G14" s="33">
        <f>SUM(G9:G13)</f>
        <v>0</v>
      </c>
      <c r="H14" s="34">
        <f>SUM(H9:H13)</f>
        <v>20</v>
      </c>
    </row>
    <row r="15" s="1" customFormat="1" customHeight="1" spans="1:8">
      <c r="A15" s="2"/>
      <c r="B15" s="35"/>
      <c r="C15" s="2"/>
      <c r="D15" s="36"/>
      <c r="E15" s="37"/>
      <c r="F15" s="37"/>
      <c r="G15" s="37"/>
      <c r="H15" s="37"/>
    </row>
    <row r="16" s="1" customFormat="1" customHeight="1" spans="1:8">
      <c r="A16" s="2"/>
      <c r="B16" s="2"/>
      <c r="C16" s="38" t="s">
        <v>180</v>
      </c>
      <c r="D16" s="2"/>
      <c r="E16" s="39">
        <f>(D14+E14)*100/(H14-G14)</f>
        <v>100</v>
      </c>
      <c r="F16" s="2" t="s">
        <v>181</v>
      </c>
      <c r="G16" s="2"/>
      <c r="H16" s="40"/>
    </row>
    <row r="17" s="1" customFormat="1" customHeight="1" spans="1:8">
      <c r="A17" s="2"/>
      <c r="B17" s="2"/>
      <c r="C17" s="38" t="s">
        <v>182</v>
      </c>
      <c r="D17" s="2"/>
      <c r="E17" s="39">
        <f>D14*100/(H14-G14)</f>
        <v>90</v>
      </c>
      <c r="F17" s="2" t="s">
        <v>181</v>
      </c>
      <c r="G17" s="2"/>
      <c r="H17" s="40"/>
    </row>
    <row r="18" s="1" customFormat="1" customHeight="1" spans="1:8">
      <c r="A18" s="3"/>
      <c r="B18" s="3"/>
      <c r="C18" s="2"/>
      <c r="D18" s="2"/>
      <c r="E18" s="3"/>
      <c r="F18" s="3"/>
      <c r="G18" s="3"/>
      <c r="H18" s="3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Module1</vt:lpstr>
      <vt:lpstr>Module2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23_ Trần Phan Hoài Nam</cp:lastModifiedBy>
  <dcterms:created xsi:type="dcterms:W3CDTF">2025-12-18T13:27:03Z</dcterms:created>
  <dcterms:modified xsi:type="dcterms:W3CDTF">2025-12-18T13:29:27Z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D62160DA7EA64C1E98BCE64F7E11444C_12</vt:lpwstr>
  </property>
  <property fmtid="{D5CDD505-2E9C-101B-9397-08002B2CF9AE}" pid="3" name="KSOProductBuildVer">
    <vt:lpwstr>1033-12.2.0.23155</vt:lpwstr>
  </property>
</Properties>
</file>